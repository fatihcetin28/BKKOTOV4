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SUBU\Dropbox\BKKOTOV4\"/>
    </mc:Choice>
  </mc:AlternateContent>
  <xr:revisionPtr revIDLastSave="0" documentId="13_ncr:1_{62513675-7346-4D78-8C13-8887899C9012}" xr6:coauthVersionLast="47" xr6:coauthVersionMax="47" xr10:uidLastSave="{00000000-0000-0000-0000-000000000000}"/>
  <bookViews>
    <workbookView minimized="1" xWindow="6420" yWindow="3405" windowWidth="16200" windowHeight="9270" xr2:uid="{00000000-000D-0000-FFFF-FFFF00000000}"/>
  </bookViews>
  <sheets>
    <sheet name="Sayfa1" sheetId="1" r:id="rId1"/>
    <sheet name="Sayfa1 (2)" sheetId="2" r:id="rId2"/>
    <sheet name="Sayfa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E3" i="3"/>
  <c r="B60" i="2"/>
  <c r="AH63" i="2"/>
  <c r="AF63" i="2" s="1"/>
  <c r="AE60" i="2"/>
  <c r="AE61" i="2" s="1"/>
  <c r="AD60" i="2"/>
  <c r="AD61" i="2" s="1"/>
  <c r="AC60" i="2"/>
  <c r="AC61" i="2" s="1"/>
  <c r="AB60" i="2"/>
  <c r="AB61" i="2" s="1"/>
  <c r="AA60" i="2"/>
  <c r="AA61" i="2" s="1"/>
  <c r="Z60" i="2"/>
  <c r="Z61" i="2" s="1"/>
  <c r="Y60" i="2"/>
  <c r="Y61" i="2" s="1"/>
  <c r="X60" i="2"/>
  <c r="X61" i="2" s="1"/>
  <c r="W60" i="2"/>
  <c r="W61" i="2" s="1"/>
  <c r="V60" i="2"/>
  <c r="V61" i="2" s="1"/>
  <c r="U60" i="2"/>
  <c r="U61" i="2" s="1"/>
  <c r="T60" i="2"/>
  <c r="T61" i="2" s="1"/>
  <c r="S60" i="2"/>
  <c r="S61" i="2" s="1"/>
  <c r="R60" i="2"/>
  <c r="R61" i="2" s="1"/>
  <c r="Q60" i="2"/>
  <c r="Q61" i="2" s="1"/>
  <c r="P60" i="2"/>
  <c r="P61" i="2" s="1"/>
  <c r="O60" i="2"/>
  <c r="O61" i="2" s="1"/>
  <c r="N60" i="2"/>
  <c r="N61" i="2" s="1"/>
  <c r="M60" i="2"/>
  <c r="M61" i="2" s="1"/>
  <c r="L60" i="2"/>
  <c r="L61" i="2" s="1"/>
  <c r="K60" i="2"/>
  <c r="K61" i="2" s="1"/>
  <c r="J60" i="2"/>
  <c r="J61" i="2" s="1"/>
  <c r="I60" i="2"/>
  <c r="H60" i="2"/>
  <c r="G60" i="2"/>
  <c r="F60" i="2"/>
  <c r="E60" i="2"/>
  <c r="D60" i="2"/>
  <c r="C60" i="2"/>
  <c r="AF59" i="2" a="1"/>
  <c r="AF59" i="2" s="1"/>
  <c r="B8" i="2"/>
  <c r="C8" i="2" s="1"/>
  <c r="B6" i="2"/>
  <c r="C6" i="2" s="1"/>
  <c r="AH19" i="1"/>
  <c r="AF19" i="1" s="1"/>
  <c r="B16" i="1"/>
  <c r="Y17" i="1"/>
  <c r="Z17" i="1"/>
  <c r="AA17" i="1"/>
  <c r="AB17" i="1"/>
  <c r="AC17" i="1"/>
  <c r="D16" i="1"/>
  <c r="E16" i="1"/>
  <c r="F16" i="1"/>
  <c r="G16" i="1"/>
  <c r="H16" i="1"/>
  <c r="I16" i="1"/>
  <c r="J16" i="1"/>
  <c r="J17" i="1" s="1"/>
  <c r="K16" i="1"/>
  <c r="K17" i="1" s="1"/>
  <c r="L16" i="1"/>
  <c r="L17" i="1" s="1"/>
  <c r="M16" i="1"/>
  <c r="M17" i="1" s="1"/>
  <c r="N16" i="1"/>
  <c r="N17" i="1" s="1"/>
  <c r="O16" i="1"/>
  <c r="O17" i="1" s="1"/>
  <c r="P16" i="1"/>
  <c r="P17" i="1" s="1"/>
  <c r="Q16" i="1"/>
  <c r="Q17" i="1" s="1"/>
  <c r="R16" i="1"/>
  <c r="R17" i="1" s="1"/>
  <c r="S16" i="1"/>
  <c r="S17" i="1" s="1"/>
  <c r="T16" i="1"/>
  <c r="T17" i="1" s="1"/>
  <c r="U16" i="1"/>
  <c r="U17" i="1" s="1"/>
  <c r="V16" i="1"/>
  <c r="V17" i="1" s="1"/>
  <c r="W16" i="1"/>
  <c r="W17" i="1" s="1"/>
  <c r="X16" i="1"/>
  <c r="X17" i="1" s="1"/>
  <c r="Y16" i="1"/>
  <c r="Z16" i="1"/>
  <c r="AA16" i="1"/>
  <c r="AB16" i="1"/>
  <c r="AC16" i="1"/>
  <c r="AD16" i="1"/>
  <c r="AD17" i="1" s="1"/>
  <c r="AE16" i="1"/>
  <c r="AE17" i="1" s="1"/>
  <c r="C16" i="1"/>
  <c r="AF15" i="1" a="1"/>
  <c r="AF15" i="1" s="1"/>
  <c r="B8" i="1"/>
  <c r="C8" i="1" s="1"/>
  <c r="D8" i="1" s="1"/>
  <c r="E8" i="1" s="1"/>
  <c r="F8" i="1" s="1"/>
  <c r="G8" i="1" s="1"/>
  <c r="H8" i="1" s="1"/>
  <c r="I8" i="1" s="1"/>
  <c r="B6" i="1"/>
  <c r="B7" i="1" s="1"/>
  <c r="C9" i="2" l="1"/>
  <c r="D8" i="2"/>
  <c r="D9" i="2" s="1"/>
  <c r="B9" i="2"/>
  <c r="AF60" i="2"/>
  <c r="AG59" i="2" s="1"/>
  <c r="B7" i="2"/>
  <c r="B61" i="2" s="1"/>
  <c r="C7" i="2"/>
  <c r="C61" i="2" s="1"/>
  <c r="D6" i="2"/>
  <c r="B17" i="1"/>
  <c r="AF16" i="1"/>
  <c r="AG15" i="1" s="1"/>
  <c r="J8" i="1"/>
  <c r="I9" i="1"/>
  <c r="F9" i="1"/>
  <c r="H9" i="1"/>
  <c r="E9" i="1"/>
  <c r="D9" i="1"/>
  <c r="G9" i="1"/>
  <c r="C9" i="1"/>
  <c r="B9" i="1"/>
  <c r="C6" i="1"/>
  <c r="E8" i="2" l="1"/>
  <c r="F8" i="2"/>
  <c r="E9" i="2"/>
  <c r="E6" i="2"/>
  <c r="D7" i="2"/>
  <c r="K8" i="1"/>
  <c r="J9" i="1"/>
  <c r="C7" i="1"/>
  <c r="C17" i="1" s="1"/>
  <c r="D6" i="1"/>
  <c r="D61" i="2" l="1"/>
  <c r="F6" i="2"/>
  <c r="E7" i="2"/>
  <c r="E61" i="2" s="1"/>
  <c r="F9" i="2"/>
  <c r="G8" i="2"/>
  <c r="L8" i="1"/>
  <c r="K9" i="1"/>
  <c r="D7" i="1"/>
  <c r="D17" i="1" s="1"/>
  <c r="E6" i="1"/>
  <c r="G9" i="2" l="1"/>
  <c r="H8" i="2"/>
  <c r="G6" i="2"/>
  <c r="F7" i="2"/>
  <c r="F61" i="2" s="1"/>
  <c r="M8" i="1"/>
  <c r="L9" i="1"/>
  <c r="F6" i="1"/>
  <c r="E7" i="1"/>
  <c r="E17" i="1" s="1"/>
  <c r="H6" i="2" l="1"/>
  <c r="G7" i="2"/>
  <c r="G61" i="2" s="1"/>
  <c r="H9" i="2"/>
  <c r="I8" i="2"/>
  <c r="N8" i="1"/>
  <c r="M9" i="1"/>
  <c r="G6" i="1"/>
  <c r="F7" i="1"/>
  <c r="F17" i="1" s="1"/>
  <c r="J8" i="2" l="1"/>
  <c r="I9" i="2"/>
  <c r="H7" i="2"/>
  <c r="I6" i="2"/>
  <c r="O8" i="1"/>
  <c r="N9" i="1"/>
  <c r="H6" i="1"/>
  <c r="G7" i="1"/>
  <c r="G17" i="1" s="1"/>
  <c r="H61" i="2" l="1"/>
  <c r="I7" i="2"/>
  <c r="I61" i="2" s="1"/>
  <c r="K8" i="2"/>
  <c r="J9" i="2"/>
  <c r="H7" i="1"/>
  <c r="I6" i="1"/>
  <c r="P8" i="1"/>
  <c r="O9" i="1"/>
  <c r="L8" i="2" l="1"/>
  <c r="K9" i="2"/>
  <c r="I7" i="1"/>
  <c r="I17" i="1" s="1"/>
  <c r="H17" i="1"/>
  <c r="Q8" i="1"/>
  <c r="P9" i="1"/>
  <c r="M8" i="2" l="1"/>
  <c r="L9" i="2"/>
  <c r="R8" i="1"/>
  <c r="Q9" i="1"/>
  <c r="N8" i="2" l="1"/>
  <c r="M9" i="2"/>
  <c r="S8" i="1"/>
  <c r="R9" i="1"/>
  <c r="O8" i="2" l="1"/>
  <c r="N9" i="2"/>
  <c r="T8" i="1"/>
  <c r="S9" i="1"/>
  <c r="P8" i="2" l="1"/>
  <c r="O9" i="2"/>
  <c r="U8" i="1"/>
  <c r="T9" i="1"/>
  <c r="P9" i="2" l="1"/>
  <c r="Q8" i="2"/>
  <c r="V8" i="1"/>
  <c r="U9" i="1"/>
  <c r="Q9" i="2" l="1"/>
  <c r="R8" i="2"/>
  <c r="W8" i="1"/>
  <c r="V9" i="1"/>
  <c r="R9" i="2" l="1"/>
  <c r="S8" i="2"/>
  <c r="X8" i="1"/>
  <c r="W9" i="1"/>
  <c r="S9" i="2" l="1"/>
  <c r="T8" i="2"/>
  <c r="Y8" i="1"/>
  <c r="X9" i="1"/>
  <c r="T9" i="2" l="1"/>
  <c r="U8" i="2"/>
  <c r="Z8" i="1"/>
  <c r="Y9" i="1"/>
  <c r="V8" i="2" l="1"/>
  <c r="U9" i="2"/>
  <c r="AA8" i="1"/>
  <c r="Z9" i="1"/>
  <c r="V9" i="2" l="1"/>
  <c r="W8" i="2"/>
  <c r="AB8" i="1"/>
  <c r="AA9" i="1"/>
  <c r="W9" i="2" l="1"/>
  <c r="X8" i="2"/>
  <c r="AC8" i="1"/>
  <c r="AB9" i="1"/>
  <c r="Y8" i="2" l="1"/>
  <c r="X9" i="2"/>
  <c r="AD8" i="1"/>
  <c r="AC9" i="1"/>
  <c r="Z8" i="2" l="1"/>
  <c r="Y9" i="2"/>
  <c r="AE8" i="1"/>
  <c r="A10" i="1" s="1"/>
  <c r="B10" i="1" s="1"/>
  <c r="AD9" i="1"/>
  <c r="AA8" i="2" l="1"/>
  <c r="Z9" i="2"/>
  <c r="B11" i="1"/>
  <c r="C10" i="1"/>
  <c r="AE9" i="1"/>
  <c r="AF9" i="1" s="1"/>
  <c r="AF8" i="1"/>
  <c r="AB8" i="2" l="1"/>
  <c r="AA9" i="2"/>
  <c r="AG8" i="1"/>
  <c r="AF17" i="1"/>
  <c r="AF18" i="1" s="1"/>
  <c r="D10" i="1"/>
  <c r="C11" i="1"/>
  <c r="AB9" i="2" l="1"/>
  <c r="AC8" i="2"/>
  <c r="E10" i="1"/>
  <c r="D11" i="1"/>
  <c r="AD8" i="2" l="1"/>
  <c r="AC9" i="2"/>
  <c r="F10" i="1"/>
  <c r="E11" i="1"/>
  <c r="AD9" i="2" l="1"/>
  <c r="AE8" i="2"/>
  <c r="AJ8" i="2" s="1"/>
  <c r="G10" i="1"/>
  <c r="F11" i="1"/>
  <c r="AE9" i="2" l="1"/>
  <c r="AF9" i="2" s="1"/>
  <c r="AH9" i="2" s="1"/>
  <c r="AF8" i="2"/>
  <c r="AH8" i="2" s="1"/>
  <c r="A10" i="2"/>
  <c r="B10" i="2" s="1"/>
  <c r="H10" i="1"/>
  <c r="G11" i="1"/>
  <c r="B11" i="2" l="1"/>
  <c r="C10" i="2"/>
  <c r="AF61" i="2"/>
  <c r="AF62" i="2" s="1"/>
  <c r="AG8" i="2"/>
  <c r="I10" i="1"/>
  <c r="H11" i="1"/>
  <c r="C11" i="2" l="1"/>
  <c r="D10" i="2"/>
  <c r="J10" i="1"/>
  <c r="I11" i="1"/>
  <c r="D11" i="2" l="1"/>
  <c r="E10" i="2"/>
  <c r="K10" i="1"/>
  <c r="J11" i="1"/>
  <c r="F10" i="2" l="1"/>
  <c r="E11" i="2"/>
  <c r="L10" i="1"/>
  <c r="K11" i="1"/>
  <c r="G10" i="2" l="1"/>
  <c r="F11" i="2"/>
  <c r="M10" i="1"/>
  <c r="L11" i="1"/>
  <c r="G11" i="2" l="1"/>
  <c r="H10" i="2"/>
  <c r="N10" i="1"/>
  <c r="M11" i="1"/>
  <c r="I10" i="2" l="1"/>
  <c r="H11" i="2"/>
  <c r="O10" i="1"/>
  <c r="N11" i="1"/>
  <c r="J10" i="2" l="1"/>
  <c r="I11" i="2"/>
  <c r="P10" i="1"/>
  <c r="O11" i="1"/>
  <c r="K10" i="2" l="1"/>
  <c r="J11" i="2"/>
  <c r="Q10" i="1"/>
  <c r="P11" i="1"/>
  <c r="L10" i="2" l="1"/>
  <c r="K11" i="2"/>
  <c r="R10" i="1"/>
  <c r="Q11" i="1"/>
  <c r="L11" i="2" l="1"/>
  <c r="M10" i="2"/>
  <c r="S10" i="1"/>
  <c r="R11" i="1"/>
  <c r="M11" i="2" l="1"/>
  <c r="N10" i="2"/>
  <c r="T10" i="1"/>
  <c r="S11" i="1"/>
  <c r="N11" i="2" l="1"/>
  <c r="O10" i="2"/>
  <c r="U10" i="1"/>
  <c r="T11" i="1"/>
  <c r="O11" i="2" l="1"/>
  <c r="P10" i="2"/>
  <c r="V10" i="1"/>
  <c r="U11" i="1"/>
  <c r="P11" i="2" l="1"/>
  <c r="Q10" i="2"/>
  <c r="W10" i="1"/>
  <c r="V11" i="1"/>
  <c r="R10" i="2" l="1"/>
  <c r="Q11" i="2"/>
  <c r="X10" i="1"/>
  <c r="W11" i="1"/>
  <c r="R11" i="2" l="1"/>
  <c r="S10" i="2"/>
  <c r="Y10" i="1"/>
  <c r="X11" i="1"/>
  <c r="S11" i="2" l="1"/>
  <c r="T10" i="2"/>
  <c r="Z10" i="1"/>
  <c r="Y11" i="1"/>
  <c r="U10" i="2" l="1"/>
  <c r="T11" i="2"/>
  <c r="AA10" i="1"/>
  <c r="Z11" i="1"/>
  <c r="V10" i="2" l="1"/>
  <c r="U11" i="2"/>
  <c r="AB10" i="1"/>
  <c r="AA11" i="1"/>
  <c r="W10" i="2" l="1"/>
  <c r="V11" i="2"/>
  <c r="AC10" i="1"/>
  <c r="AB11" i="1"/>
  <c r="W11" i="2" l="1"/>
  <c r="X10" i="2"/>
  <c r="AD10" i="1"/>
  <c r="AC11" i="1"/>
  <c r="Y10" i="2" l="1"/>
  <c r="X11" i="2"/>
  <c r="AE10" i="1"/>
  <c r="AD11" i="1"/>
  <c r="Z10" i="2" l="1"/>
  <c r="Y11" i="2"/>
  <c r="AE11" i="1"/>
  <c r="AF11" i="1" s="1"/>
  <c r="AF10" i="1"/>
  <c r="AA10" i="2" l="1"/>
  <c r="Z11" i="2"/>
  <c r="AA11" i="2" l="1"/>
  <c r="AB10" i="2"/>
  <c r="AB11" i="2" l="1"/>
  <c r="AC10" i="2"/>
  <c r="AC11" i="2" l="1"/>
  <c r="AD10" i="2"/>
  <c r="AE10" i="2" l="1"/>
  <c r="AD11" i="2"/>
  <c r="A12" i="2" l="1"/>
  <c r="B12" i="2" s="1"/>
  <c r="AJ10" i="2"/>
  <c r="C12" i="2"/>
  <c r="B13" i="2"/>
  <c r="AE11" i="2"/>
  <c r="AF11" i="2" s="1"/>
  <c r="AH11" i="2" s="1"/>
  <c r="AF10" i="2"/>
  <c r="AH10" i="2" s="1"/>
  <c r="D12" i="2" l="1"/>
  <c r="C13" i="2"/>
  <c r="E12" i="2" l="1"/>
  <c r="D13" i="2"/>
  <c r="E13" i="2" l="1"/>
  <c r="F12" i="2"/>
  <c r="F13" i="2" l="1"/>
  <c r="G12" i="2"/>
  <c r="G13" i="2" l="1"/>
  <c r="H12" i="2"/>
  <c r="H13" i="2" l="1"/>
  <c r="I12" i="2"/>
  <c r="J12" i="2" l="1"/>
  <c r="I13" i="2"/>
  <c r="K12" i="2" l="1"/>
  <c r="J13" i="2"/>
  <c r="L12" i="2" l="1"/>
  <c r="K13" i="2"/>
  <c r="M12" i="2" l="1"/>
  <c r="L13" i="2"/>
  <c r="M13" i="2" l="1"/>
  <c r="N12" i="2"/>
  <c r="O12" i="2" l="1"/>
  <c r="N13" i="2"/>
  <c r="P12" i="2" l="1"/>
  <c r="O13" i="2"/>
  <c r="Q12" i="2" l="1"/>
  <c r="P13" i="2"/>
  <c r="R12" i="2" l="1"/>
  <c r="Q13" i="2"/>
  <c r="R13" i="2" l="1"/>
  <c r="S12" i="2"/>
  <c r="S13" i="2" l="1"/>
  <c r="T12" i="2"/>
  <c r="T13" i="2" l="1"/>
  <c r="U12" i="2"/>
  <c r="V12" i="2" l="1"/>
  <c r="U13" i="2"/>
  <c r="V13" i="2" l="1"/>
  <c r="W12" i="2"/>
  <c r="W13" i="2" l="1"/>
  <c r="X12" i="2"/>
  <c r="Y12" i="2" l="1"/>
  <c r="X13" i="2"/>
  <c r="Z12" i="2" l="1"/>
  <c r="Y13" i="2"/>
  <c r="AA12" i="2" l="1"/>
  <c r="Z13" i="2"/>
  <c r="AB12" i="2" l="1"/>
  <c r="AA13" i="2"/>
  <c r="AC12" i="2" l="1"/>
  <c r="AB13" i="2"/>
  <c r="AC13" i="2" l="1"/>
  <c r="AD12" i="2"/>
  <c r="AD13" i="2" l="1"/>
  <c r="AE12" i="2"/>
  <c r="A14" i="2" l="1"/>
  <c r="B14" i="2" s="1"/>
  <c r="AJ12" i="2"/>
  <c r="C14" i="2"/>
  <c r="B15" i="2"/>
  <c r="AE13" i="2"/>
  <c r="AF13" i="2" s="1"/>
  <c r="AH13" i="2" s="1"/>
  <c r="AF12" i="2"/>
  <c r="AH12" i="2" s="1"/>
  <c r="D14" i="2" l="1"/>
  <c r="C15" i="2"/>
  <c r="E14" i="2" l="1"/>
  <c r="D15" i="2"/>
  <c r="F14" i="2" l="1"/>
  <c r="E15" i="2"/>
  <c r="F15" i="2" l="1"/>
  <c r="G14" i="2"/>
  <c r="G15" i="2" l="1"/>
  <c r="H14" i="2"/>
  <c r="I14" i="2" l="1"/>
  <c r="H15" i="2"/>
  <c r="I15" i="2" l="1"/>
  <c r="J14" i="2"/>
  <c r="J15" i="2" l="1"/>
  <c r="K14" i="2"/>
  <c r="L14" i="2" l="1"/>
  <c r="K15" i="2"/>
  <c r="M14" i="2" l="1"/>
  <c r="L15" i="2"/>
  <c r="N14" i="2" l="1"/>
  <c r="M15" i="2"/>
  <c r="O14" i="2" l="1"/>
  <c r="N15" i="2"/>
  <c r="P14" i="2" l="1"/>
  <c r="O15" i="2"/>
  <c r="P15" i="2" l="1"/>
  <c r="Q14" i="2"/>
  <c r="R14" i="2" l="1"/>
  <c r="Q15" i="2"/>
  <c r="R15" i="2" l="1"/>
  <c r="S14" i="2"/>
  <c r="S15" i="2" l="1"/>
  <c r="T14" i="2"/>
  <c r="T15" i="2" l="1"/>
  <c r="U14" i="2"/>
  <c r="U15" i="2" l="1"/>
  <c r="V14" i="2"/>
  <c r="W14" i="2" l="1"/>
  <c r="V15" i="2"/>
  <c r="X14" i="2" l="1"/>
  <c r="W15" i="2"/>
  <c r="Y14" i="2" l="1"/>
  <c r="X15" i="2"/>
  <c r="Z14" i="2" l="1"/>
  <c r="Y15" i="2"/>
  <c r="Z15" i="2" l="1"/>
  <c r="AA14" i="2"/>
  <c r="AA15" i="2" l="1"/>
  <c r="AB14" i="2"/>
  <c r="AB15" i="2" l="1"/>
  <c r="AC14" i="2"/>
  <c r="AC15" i="2" l="1"/>
  <c r="AD14" i="2"/>
  <c r="AD15" i="2" l="1"/>
  <c r="AE14" i="2"/>
  <c r="A16" i="2" l="1"/>
  <c r="B16" i="2" s="1"/>
  <c r="AJ14" i="2"/>
  <c r="C16" i="2"/>
  <c r="B17" i="2"/>
  <c r="AE15" i="2"/>
  <c r="AF15" i="2" s="1"/>
  <c r="AH15" i="2" s="1"/>
  <c r="AF14" i="2"/>
  <c r="AH14" i="2" s="1"/>
  <c r="D16" i="2" l="1"/>
  <c r="C17" i="2"/>
  <c r="E16" i="2" l="1"/>
  <c r="D17" i="2"/>
  <c r="E17" i="2" l="1"/>
  <c r="F16" i="2"/>
  <c r="F17" i="2" l="1"/>
  <c r="G16" i="2"/>
  <c r="G17" i="2" l="1"/>
  <c r="H16" i="2"/>
  <c r="H17" i="2" l="1"/>
  <c r="I16" i="2"/>
  <c r="I17" i="2" l="1"/>
  <c r="J16" i="2"/>
  <c r="J17" i="2" l="1"/>
  <c r="K16" i="2"/>
  <c r="L16" i="2" l="1"/>
  <c r="K17" i="2"/>
  <c r="M16" i="2" l="1"/>
  <c r="L17" i="2"/>
  <c r="N16" i="2" l="1"/>
  <c r="M17" i="2"/>
  <c r="O16" i="2" l="1"/>
  <c r="N17" i="2"/>
  <c r="P16" i="2" l="1"/>
  <c r="O17" i="2"/>
  <c r="P17" i="2" l="1"/>
  <c r="Q16" i="2"/>
  <c r="Q17" i="2" l="1"/>
  <c r="R16" i="2"/>
  <c r="R17" i="2" l="1"/>
  <c r="S16" i="2"/>
  <c r="S17" i="2" l="1"/>
  <c r="T16" i="2"/>
  <c r="T17" i="2" l="1"/>
  <c r="U16" i="2"/>
  <c r="U17" i="2" l="1"/>
  <c r="V16" i="2"/>
  <c r="V17" i="2" l="1"/>
  <c r="W16" i="2"/>
  <c r="X16" i="2" l="1"/>
  <c r="W17" i="2"/>
  <c r="Y16" i="2" l="1"/>
  <c r="X17" i="2"/>
  <c r="Z16" i="2" l="1"/>
  <c r="Y17" i="2"/>
  <c r="AA16" i="2" l="1"/>
  <c r="Z17" i="2"/>
  <c r="AB16" i="2" l="1"/>
  <c r="AA17" i="2"/>
  <c r="AB17" i="2" l="1"/>
  <c r="AC16" i="2"/>
  <c r="AC17" i="2" l="1"/>
  <c r="AD16" i="2"/>
  <c r="AD17" i="2" l="1"/>
  <c r="AE16" i="2"/>
  <c r="AJ16" i="2" s="1"/>
  <c r="AE17" i="2" l="1"/>
  <c r="AF17" i="2" s="1"/>
  <c r="AH17" i="2" s="1"/>
  <c r="A18" i="2"/>
  <c r="B18" i="2" s="1"/>
  <c r="AF16" i="2"/>
  <c r="AH16" i="2" s="1"/>
  <c r="B19" i="2" l="1"/>
  <c r="C18" i="2"/>
  <c r="C19" i="2" l="1"/>
  <c r="D18" i="2"/>
  <c r="D19" i="2" l="1"/>
  <c r="E18" i="2"/>
  <c r="E19" i="2" l="1"/>
  <c r="F18" i="2"/>
  <c r="F19" i="2" l="1"/>
  <c r="G18" i="2"/>
  <c r="H18" i="2" l="1"/>
  <c r="G19" i="2"/>
  <c r="I18" i="2" l="1"/>
  <c r="H19" i="2"/>
  <c r="J18" i="2" l="1"/>
  <c r="I19" i="2"/>
  <c r="K18" i="2" l="1"/>
  <c r="J19" i="2"/>
  <c r="L18" i="2" l="1"/>
  <c r="K19" i="2"/>
  <c r="L19" i="2" l="1"/>
  <c r="M18" i="2"/>
  <c r="M19" i="2" l="1"/>
  <c r="N18" i="2"/>
  <c r="N19" i="2" l="1"/>
  <c r="O18" i="2"/>
  <c r="O19" i="2" l="1"/>
  <c r="P18" i="2"/>
  <c r="P19" i="2" l="1"/>
  <c r="Q18" i="2"/>
  <c r="Q19" i="2" l="1"/>
  <c r="R18" i="2"/>
  <c r="S18" i="2" l="1"/>
  <c r="R19" i="2"/>
  <c r="T18" i="2" l="1"/>
  <c r="S19" i="2"/>
  <c r="U18" i="2" l="1"/>
  <c r="T19" i="2"/>
  <c r="V18" i="2" l="1"/>
  <c r="U19" i="2"/>
  <c r="W18" i="2" l="1"/>
  <c r="V19" i="2"/>
  <c r="X18" i="2" l="1"/>
  <c r="W19" i="2"/>
  <c r="X19" i="2" l="1"/>
  <c r="Y18" i="2"/>
  <c r="Y19" i="2" l="1"/>
  <c r="Z18" i="2"/>
  <c r="Z19" i="2" l="1"/>
  <c r="AA18" i="2"/>
  <c r="AA19" i="2" l="1"/>
  <c r="AB18" i="2"/>
  <c r="AB19" i="2" l="1"/>
  <c r="AC18" i="2"/>
  <c r="AC19" i="2" l="1"/>
  <c r="AD18" i="2"/>
  <c r="AD19" i="2" l="1"/>
  <c r="AE18" i="2"/>
  <c r="AJ18" i="2" s="1"/>
  <c r="AF18" i="2" l="1"/>
  <c r="AH18" i="2" s="1"/>
  <c r="AE19" i="2"/>
  <c r="AF19" i="2" s="1"/>
  <c r="AH19" i="2" s="1"/>
  <c r="A20" i="2"/>
  <c r="B20" i="2" s="1"/>
  <c r="C20" i="2" l="1"/>
  <c r="B21" i="2"/>
  <c r="D20" i="2" l="1"/>
  <c r="C21" i="2"/>
  <c r="E20" i="2" l="1"/>
  <c r="D21" i="2"/>
  <c r="F20" i="2" l="1"/>
  <c r="E21" i="2"/>
  <c r="F21" i="2" l="1"/>
  <c r="G20" i="2"/>
  <c r="G21" i="2" l="1"/>
  <c r="H20" i="2"/>
  <c r="H21" i="2" l="1"/>
  <c r="I20" i="2"/>
  <c r="I21" i="2" l="1"/>
  <c r="J20" i="2"/>
  <c r="J21" i="2" l="1"/>
  <c r="K20" i="2"/>
  <c r="K21" i="2" l="1"/>
  <c r="L20" i="2"/>
  <c r="L21" i="2" l="1"/>
  <c r="M20" i="2"/>
  <c r="M21" i="2" l="1"/>
  <c r="N20" i="2"/>
  <c r="O20" i="2" l="1"/>
  <c r="N21" i="2"/>
  <c r="P20" i="2" l="1"/>
  <c r="O21" i="2"/>
  <c r="Q20" i="2" l="1"/>
  <c r="P21" i="2"/>
  <c r="R20" i="2" l="1"/>
  <c r="Q21" i="2"/>
  <c r="S20" i="2" l="1"/>
  <c r="R21" i="2"/>
  <c r="S21" i="2" l="1"/>
  <c r="T20" i="2"/>
  <c r="T21" i="2" l="1"/>
  <c r="U20" i="2"/>
  <c r="U21" i="2" l="1"/>
  <c r="V20" i="2"/>
  <c r="V21" i="2" l="1"/>
  <c r="W20" i="2"/>
  <c r="W21" i="2" l="1"/>
  <c r="X20" i="2"/>
  <c r="X21" i="2" l="1"/>
  <c r="Y20" i="2"/>
  <c r="Z20" i="2" l="1"/>
  <c r="Y21" i="2"/>
  <c r="AA20" i="2" l="1"/>
  <c r="Z21" i="2"/>
  <c r="AB20" i="2" l="1"/>
  <c r="AA21" i="2"/>
  <c r="AC20" i="2" l="1"/>
  <c r="AB21" i="2"/>
  <c r="AD20" i="2" l="1"/>
  <c r="AC21" i="2"/>
  <c r="AE20" i="2" l="1"/>
  <c r="AJ20" i="2" s="1"/>
  <c r="AD21" i="2"/>
  <c r="AE21" i="2" l="1"/>
  <c r="AF21" i="2" s="1"/>
  <c r="AH21" i="2" s="1"/>
  <c r="A22" i="2"/>
  <c r="B22" i="2" s="1"/>
  <c r="AF20" i="2"/>
  <c r="AH20" i="2" s="1"/>
  <c r="B23" i="2" l="1"/>
  <c r="C22" i="2"/>
  <c r="C23" i="2" l="1"/>
  <c r="D22" i="2"/>
  <c r="D23" i="2" l="1"/>
  <c r="E22" i="2"/>
  <c r="E23" i="2" l="1"/>
  <c r="F22" i="2"/>
  <c r="F23" i="2" l="1"/>
  <c r="G22" i="2"/>
  <c r="G23" i="2" l="1"/>
  <c r="H22" i="2"/>
  <c r="H23" i="2" l="1"/>
  <c r="I22" i="2"/>
  <c r="J22" i="2" l="1"/>
  <c r="I23" i="2"/>
  <c r="K22" i="2" l="1"/>
  <c r="J23" i="2"/>
  <c r="L22" i="2" l="1"/>
  <c r="K23" i="2"/>
  <c r="M22" i="2" l="1"/>
  <c r="L23" i="2"/>
  <c r="M23" i="2" l="1"/>
  <c r="N22" i="2"/>
  <c r="N23" i="2" l="1"/>
  <c r="O22" i="2"/>
  <c r="P22" i="2" l="1"/>
  <c r="O23" i="2"/>
  <c r="P23" i="2" l="1"/>
  <c r="Q22" i="2"/>
  <c r="Q23" i="2" l="1"/>
  <c r="R22" i="2"/>
  <c r="R23" i="2" l="1"/>
  <c r="S22" i="2"/>
  <c r="S23" i="2" l="1"/>
  <c r="T22" i="2"/>
  <c r="T23" i="2" l="1"/>
  <c r="U22" i="2"/>
  <c r="V22" i="2" l="1"/>
  <c r="U23" i="2"/>
  <c r="W22" i="2" l="1"/>
  <c r="V23" i="2"/>
  <c r="X22" i="2" l="1"/>
  <c r="W23" i="2"/>
  <c r="Y22" i="2" l="1"/>
  <c r="X23" i="2"/>
  <c r="Z22" i="2" l="1"/>
  <c r="Y23" i="2"/>
  <c r="Z23" i="2" l="1"/>
  <c r="AA22" i="2"/>
  <c r="AB22" i="2" l="1"/>
  <c r="AA23" i="2"/>
  <c r="AB23" i="2" l="1"/>
  <c r="AC22" i="2"/>
  <c r="AC23" i="2" l="1"/>
  <c r="AD22" i="2"/>
  <c r="AD23" i="2" l="1"/>
  <c r="AE22" i="2"/>
  <c r="AJ22" i="2" s="1"/>
  <c r="A24" i="2" l="1"/>
  <c r="B24" i="2" s="1"/>
  <c r="AE23" i="2"/>
  <c r="AF23" i="2" s="1"/>
  <c r="AH23" i="2" s="1"/>
  <c r="AF22" i="2"/>
  <c r="AH22" i="2" s="1"/>
  <c r="B25" i="2" l="1"/>
  <c r="C24" i="2"/>
  <c r="D24" i="2" l="1"/>
  <c r="C25" i="2"/>
  <c r="E24" i="2" l="1"/>
  <c r="D25" i="2"/>
  <c r="F24" i="2" l="1"/>
  <c r="E25" i="2"/>
  <c r="F25" i="2" l="1"/>
  <c r="G24" i="2"/>
  <c r="G25" i="2" l="1"/>
  <c r="H24" i="2"/>
  <c r="H25" i="2" l="1"/>
  <c r="I24" i="2"/>
  <c r="I25" i="2" l="1"/>
  <c r="J24" i="2"/>
  <c r="K24" i="2" l="1"/>
  <c r="J25" i="2"/>
  <c r="K25" i="2" l="1"/>
  <c r="L24" i="2"/>
  <c r="L25" i="2" l="1"/>
  <c r="M24" i="2"/>
  <c r="N24" i="2" l="1"/>
  <c r="M25" i="2"/>
  <c r="O24" i="2" l="1"/>
  <c r="N25" i="2"/>
  <c r="P24" i="2" l="1"/>
  <c r="O25" i="2"/>
  <c r="Q24" i="2" l="1"/>
  <c r="P25" i="2"/>
  <c r="R24" i="2" l="1"/>
  <c r="Q25" i="2"/>
  <c r="S24" i="2" l="1"/>
  <c r="R25" i="2"/>
  <c r="T24" i="2" l="1"/>
  <c r="S25" i="2"/>
  <c r="U24" i="2" l="1"/>
  <c r="T25" i="2"/>
  <c r="V24" i="2" l="1"/>
  <c r="U25" i="2"/>
  <c r="W24" i="2" l="1"/>
  <c r="V25" i="2"/>
  <c r="X24" i="2" l="1"/>
  <c r="W25" i="2"/>
  <c r="X25" i="2" l="1"/>
  <c r="Y24" i="2"/>
  <c r="Y25" i="2" l="1"/>
  <c r="Z24" i="2"/>
  <c r="AA24" i="2" l="1"/>
  <c r="Z25" i="2"/>
  <c r="AA25" i="2" l="1"/>
  <c r="AB24" i="2"/>
  <c r="AB25" i="2" l="1"/>
  <c r="AC24" i="2"/>
  <c r="AC25" i="2" l="1"/>
  <c r="AD24" i="2"/>
  <c r="AD25" i="2" l="1"/>
  <c r="AE24" i="2"/>
  <c r="A26" i="2" l="1"/>
  <c r="B26" i="2" s="1"/>
  <c r="AJ24" i="2"/>
  <c r="AE25" i="2"/>
  <c r="AF25" i="2" s="1"/>
  <c r="AH25" i="2" s="1"/>
  <c r="AF24" i="2"/>
  <c r="AH24" i="2" s="1"/>
  <c r="C26" i="2" l="1"/>
  <c r="B27" i="2"/>
  <c r="D26" i="2" l="1"/>
  <c r="C27" i="2"/>
  <c r="E26" i="2" l="1"/>
  <c r="D27" i="2"/>
  <c r="E27" i="2" l="1"/>
  <c r="F26" i="2"/>
  <c r="F27" i="2" l="1"/>
  <c r="G26" i="2"/>
  <c r="G27" i="2" l="1"/>
  <c r="H26" i="2"/>
  <c r="H27" i="2" l="1"/>
  <c r="I26" i="2"/>
  <c r="I27" i="2" l="1"/>
  <c r="J26" i="2"/>
  <c r="K26" i="2" l="1"/>
  <c r="J27" i="2"/>
  <c r="K27" i="2" l="1"/>
  <c r="L26" i="2"/>
  <c r="M26" i="2" l="1"/>
  <c r="L27" i="2"/>
  <c r="N26" i="2" l="1"/>
  <c r="M27" i="2"/>
  <c r="O26" i="2" l="1"/>
  <c r="N27" i="2"/>
  <c r="P26" i="2" l="1"/>
  <c r="O27" i="2"/>
  <c r="Q26" i="2" l="1"/>
  <c r="P27" i="2"/>
  <c r="Q27" i="2" l="1"/>
  <c r="R26" i="2"/>
  <c r="R27" i="2" l="1"/>
  <c r="S26" i="2"/>
  <c r="S27" i="2" l="1"/>
  <c r="T26" i="2"/>
  <c r="T27" i="2" l="1"/>
  <c r="U26" i="2"/>
  <c r="U27" i="2" l="1"/>
  <c r="V26" i="2"/>
  <c r="W26" i="2" l="1"/>
  <c r="V27" i="2"/>
  <c r="W27" i="2" l="1"/>
  <c r="X26" i="2"/>
  <c r="Y26" i="2" l="1"/>
  <c r="X27" i="2"/>
  <c r="Z26" i="2" l="1"/>
  <c r="Y27" i="2"/>
  <c r="AA26" i="2" l="1"/>
  <c r="Z27" i="2"/>
  <c r="AB26" i="2" l="1"/>
  <c r="AA27" i="2"/>
  <c r="AC26" i="2" l="1"/>
  <c r="AB27" i="2"/>
  <c r="AC27" i="2" l="1"/>
  <c r="AD26" i="2"/>
  <c r="AD27" i="2" l="1"/>
  <c r="AE26" i="2"/>
  <c r="AJ26" i="2" l="1"/>
  <c r="AE27" i="2"/>
  <c r="AF27" i="2" s="1"/>
  <c r="AH27" i="2" s="1"/>
  <c r="A28" i="2"/>
  <c r="B28" i="2" s="1"/>
  <c r="AF26" i="2"/>
  <c r="AH26" i="2" s="1"/>
  <c r="B29" i="2" l="1"/>
  <c r="C28" i="2"/>
  <c r="C29" i="2" l="1"/>
  <c r="D28" i="2"/>
  <c r="D29" i="2" l="1"/>
  <c r="E28" i="2"/>
  <c r="E29" i="2" l="1"/>
  <c r="F28" i="2"/>
  <c r="G28" i="2" l="1"/>
  <c r="F29" i="2"/>
  <c r="H28" i="2" l="1"/>
  <c r="G29" i="2"/>
  <c r="I28" i="2" l="1"/>
  <c r="H29" i="2"/>
  <c r="J28" i="2" l="1"/>
  <c r="I29" i="2"/>
  <c r="K28" i="2" l="1"/>
  <c r="J29" i="2"/>
  <c r="L28" i="2" l="1"/>
  <c r="K29" i="2"/>
  <c r="L29" i="2" l="1"/>
  <c r="M28" i="2"/>
  <c r="M29" i="2" l="1"/>
  <c r="N28" i="2"/>
  <c r="N29" i="2" l="1"/>
  <c r="O28" i="2"/>
  <c r="O29" i="2" l="1"/>
  <c r="P28" i="2"/>
  <c r="Q28" i="2" l="1"/>
  <c r="P29" i="2"/>
  <c r="R28" i="2" l="1"/>
  <c r="Q29" i="2"/>
  <c r="R29" i="2" l="1"/>
  <c r="S28" i="2"/>
  <c r="T28" i="2" l="1"/>
  <c r="S29" i="2"/>
  <c r="U28" i="2" l="1"/>
  <c r="T29" i="2"/>
  <c r="V28" i="2" l="1"/>
  <c r="U29" i="2"/>
  <c r="W28" i="2" l="1"/>
  <c r="V29" i="2"/>
  <c r="X28" i="2" l="1"/>
  <c r="W29" i="2"/>
  <c r="X29" i="2" l="1"/>
  <c r="Y28" i="2"/>
  <c r="Z28" i="2" l="1"/>
  <c r="Y29" i="2"/>
  <c r="Z29" i="2" l="1"/>
  <c r="AA28" i="2"/>
  <c r="AA29" i="2" l="1"/>
  <c r="AB28" i="2"/>
  <c r="AB29" i="2" l="1"/>
  <c r="AC28" i="2"/>
  <c r="AD28" i="2" l="1"/>
  <c r="AC29" i="2"/>
  <c r="AE28" i="2" l="1"/>
  <c r="AD29" i="2"/>
  <c r="AJ28" i="2" l="1"/>
  <c r="AF28" i="2"/>
  <c r="AH28" i="2" s="1"/>
  <c r="A30" i="2"/>
  <c r="B30" i="2" s="1"/>
  <c r="C30" i="2" s="1"/>
  <c r="D30" i="2" s="1"/>
  <c r="E30" i="2" s="1"/>
  <c r="F30" i="2" s="1"/>
  <c r="G30" i="2" s="1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32" i="2" s="1"/>
  <c r="B32" i="2" s="1"/>
  <c r="AE29" i="2"/>
  <c r="AF29" i="2" s="1"/>
  <c r="AH29" i="2" s="1"/>
  <c r="C32" i="2" l="1"/>
  <c r="B33" i="2"/>
  <c r="AF30" i="2"/>
  <c r="AH30" i="2" s="1"/>
  <c r="AG31" i="2"/>
  <c r="AJ30" i="2"/>
  <c r="D32" i="2" l="1"/>
  <c r="C33" i="2"/>
  <c r="D33" i="2" l="1"/>
  <c r="E32" i="2"/>
  <c r="E33" i="2" l="1"/>
  <c r="F32" i="2"/>
  <c r="F33" i="2" l="1"/>
  <c r="G32" i="2"/>
  <c r="G33" i="2" l="1"/>
  <c r="H32" i="2"/>
  <c r="H33" i="2" l="1"/>
  <c r="I32" i="2"/>
  <c r="I33" i="2" l="1"/>
  <c r="J32" i="2"/>
  <c r="J33" i="2" l="1"/>
  <c r="K32" i="2"/>
  <c r="K33" i="2" l="1"/>
  <c r="L32" i="2"/>
  <c r="L33" i="2" l="1"/>
  <c r="M32" i="2"/>
  <c r="N32" i="2" l="1"/>
  <c r="M33" i="2"/>
  <c r="N33" i="2" l="1"/>
  <c r="O32" i="2"/>
  <c r="P32" i="2" l="1"/>
  <c r="O33" i="2"/>
  <c r="P33" i="2" l="1"/>
  <c r="Q32" i="2"/>
  <c r="Q33" i="2" l="1"/>
  <c r="R32" i="2"/>
  <c r="R33" i="2" l="1"/>
  <c r="S32" i="2"/>
  <c r="S33" i="2" l="1"/>
  <c r="T32" i="2"/>
  <c r="T33" i="2" l="1"/>
  <c r="U32" i="2"/>
  <c r="U33" i="2" l="1"/>
  <c r="V32" i="2"/>
  <c r="V33" i="2" l="1"/>
  <c r="W32" i="2"/>
  <c r="X32" i="2" l="1"/>
  <c r="W33" i="2"/>
  <c r="X33" i="2" l="1"/>
  <c r="Y32" i="2"/>
  <c r="Z32" i="2" l="1"/>
  <c r="Y33" i="2"/>
  <c r="AA32" i="2" l="1"/>
  <c r="Z33" i="2"/>
  <c r="AB32" i="2" l="1"/>
  <c r="AA33" i="2"/>
  <c r="AB33" i="2" l="1"/>
  <c r="AC32" i="2"/>
  <c r="AC33" i="2" l="1"/>
  <c r="AD32" i="2"/>
  <c r="AD33" i="2" l="1"/>
  <c r="AE32" i="2"/>
  <c r="AE33" i="2" l="1"/>
  <c r="AF33" i="2" s="1"/>
  <c r="AH33" i="2" s="1"/>
  <c r="A34" i="2"/>
  <c r="B34" i="2" s="1"/>
  <c r="AJ32" i="2"/>
  <c r="AF32" i="2"/>
  <c r="AG32" i="2" l="1"/>
  <c r="AH32" i="2"/>
  <c r="B35" i="2"/>
  <c r="C34" i="2"/>
  <c r="C35" i="2" l="1"/>
  <c r="D34" i="2"/>
  <c r="D35" i="2" l="1"/>
  <c r="E34" i="2"/>
  <c r="E35" i="2" l="1"/>
  <c r="F34" i="2"/>
  <c r="G34" i="2" l="1"/>
  <c r="F35" i="2"/>
  <c r="H34" i="2" l="1"/>
  <c r="G35" i="2"/>
  <c r="I34" i="2" l="1"/>
  <c r="H35" i="2"/>
  <c r="J34" i="2" l="1"/>
  <c r="I35" i="2"/>
  <c r="J35" i="2" l="1"/>
  <c r="K34" i="2"/>
  <c r="K35" i="2" l="1"/>
  <c r="L34" i="2"/>
  <c r="L35" i="2" l="1"/>
  <c r="M34" i="2"/>
  <c r="M35" i="2" l="1"/>
  <c r="N34" i="2"/>
  <c r="N35" i="2" l="1"/>
  <c r="O34" i="2"/>
  <c r="O35" i="2" l="1"/>
  <c r="P34" i="2"/>
  <c r="Q34" i="2" l="1"/>
  <c r="P35" i="2"/>
  <c r="Q35" i="2" l="1"/>
  <c r="R34" i="2"/>
  <c r="S34" i="2" l="1"/>
  <c r="R35" i="2"/>
  <c r="T34" i="2" l="1"/>
  <c r="S35" i="2"/>
  <c r="U34" i="2" l="1"/>
  <c r="T35" i="2"/>
  <c r="V34" i="2" l="1"/>
  <c r="U35" i="2"/>
  <c r="V35" i="2" l="1"/>
  <c r="W34" i="2"/>
  <c r="W35" i="2" l="1"/>
  <c r="X34" i="2"/>
  <c r="X35" i="2" l="1"/>
  <c r="Y34" i="2"/>
  <c r="Y35" i="2" l="1"/>
  <c r="Z34" i="2"/>
  <c r="Z35" i="2" l="1"/>
  <c r="AA34" i="2"/>
  <c r="AA35" i="2" l="1"/>
  <c r="AB34" i="2"/>
  <c r="AC34" i="2" l="1"/>
  <c r="AB35" i="2"/>
  <c r="AC35" i="2" l="1"/>
  <c r="AD34" i="2"/>
  <c r="AE34" i="2" l="1"/>
  <c r="AD35" i="2"/>
  <c r="A36" i="2" l="1"/>
  <c r="B36" i="2" s="1"/>
  <c r="AF34" i="2"/>
  <c r="AH34" i="2" s="1"/>
  <c r="AJ34" i="2"/>
  <c r="AE35" i="2"/>
  <c r="AF35" i="2" s="1"/>
  <c r="AH35" i="2" s="1"/>
  <c r="C36" i="2" l="1"/>
  <c r="B37" i="2"/>
  <c r="D36" i="2" l="1"/>
  <c r="C37" i="2"/>
  <c r="D37" i="2" l="1"/>
  <c r="E36" i="2"/>
  <c r="E37" i="2" l="1"/>
  <c r="F36" i="2"/>
  <c r="F37" i="2" l="1"/>
  <c r="G36" i="2"/>
  <c r="G37" i="2" l="1"/>
  <c r="H36" i="2"/>
  <c r="H37" i="2" l="1"/>
  <c r="I36" i="2"/>
  <c r="I37" i="2" l="1"/>
  <c r="J36" i="2"/>
  <c r="J37" i="2" l="1"/>
  <c r="K36" i="2"/>
  <c r="K37" i="2" l="1"/>
  <c r="L36" i="2"/>
  <c r="M36" i="2" l="1"/>
  <c r="L37" i="2"/>
  <c r="N36" i="2" l="1"/>
  <c r="M37" i="2"/>
  <c r="N37" i="2" l="1"/>
  <c r="O36" i="2"/>
  <c r="P36" i="2" l="1"/>
  <c r="O37" i="2"/>
  <c r="P37" i="2" l="1"/>
  <c r="Q36" i="2"/>
  <c r="Q37" i="2" l="1"/>
  <c r="R36" i="2"/>
  <c r="R37" i="2" l="1"/>
  <c r="S36" i="2"/>
  <c r="S37" i="2" l="1"/>
  <c r="T36" i="2"/>
  <c r="T37" i="2" l="1"/>
  <c r="U36" i="2"/>
  <c r="U37" i="2" l="1"/>
  <c r="V36" i="2"/>
  <c r="V37" i="2" l="1"/>
  <c r="W36" i="2"/>
  <c r="W37" i="2" l="1"/>
  <c r="X36" i="2"/>
  <c r="Y36" i="2" l="1"/>
  <c r="X37" i="2"/>
  <c r="Z36" i="2" l="1"/>
  <c r="Y37" i="2"/>
  <c r="AA36" i="2" l="1"/>
  <c r="Z37" i="2"/>
  <c r="AB36" i="2" l="1"/>
  <c r="AA37" i="2"/>
  <c r="AB37" i="2" l="1"/>
  <c r="AC36" i="2"/>
  <c r="AC37" i="2" l="1"/>
  <c r="AD36" i="2"/>
  <c r="AD37" i="2" l="1"/>
  <c r="AE36" i="2"/>
  <c r="AE37" i="2" l="1"/>
  <c r="AF37" i="2" s="1"/>
  <c r="AH37" i="2" s="1"/>
  <c r="A38" i="2"/>
  <c r="B38" i="2" s="1"/>
  <c r="AF36" i="2"/>
  <c r="AH36" i="2" s="1"/>
  <c r="AJ36" i="2"/>
  <c r="B39" i="2" l="1"/>
  <c r="C38" i="2"/>
  <c r="C39" i="2" l="1"/>
  <c r="D38" i="2"/>
  <c r="E38" i="2" l="1"/>
  <c r="D39" i="2"/>
  <c r="E39" i="2" l="1"/>
  <c r="F38" i="2"/>
  <c r="G38" i="2" l="1"/>
  <c r="F39" i="2"/>
  <c r="H38" i="2" l="1"/>
  <c r="G39" i="2"/>
  <c r="I38" i="2" l="1"/>
  <c r="H39" i="2"/>
  <c r="J38" i="2" l="1"/>
  <c r="I39" i="2"/>
  <c r="J39" i="2" l="1"/>
  <c r="K38" i="2"/>
  <c r="K39" i="2" l="1"/>
  <c r="L38" i="2"/>
  <c r="L39" i="2" l="1"/>
  <c r="M38" i="2"/>
  <c r="M39" i="2" l="1"/>
  <c r="N38" i="2"/>
  <c r="N39" i="2" l="1"/>
  <c r="O38" i="2"/>
  <c r="O39" i="2" l="1"/>
  <c r="P38" i="2"/>
  <c r="Q38" i="2" l="1"/>
  <c r="P39" i="2"/>
  <c r="Q39" i="2" l="1"/>
  <c r="R38" i="2"/>
  <c r="S38" i="2" l="1"/>
  <c r="R39" i="2"/>
  <c r="T38" i="2" l="1"/>
  <c r="S39" i="2"/>
  <c r="U38" i="2" l="1"/>
  <c r="T39" i="2"/>
  <c r="V38" i="2" l="1"/>
  <c r="U39" i="2"/>
  <c r="V39" i="2" l="1"/>
  <c r="W38" i="2"/>
  <c r="W39" i="2" l="1"/>
  <c r="X38" i="2"/>
  <c r="X39" i="2" l="1"/>
  <c r="Y38" i="2"/>
  <c r="Y39" i="2" l="1"/>
  <c r="Z38" i="2"/>
  <c r="Z39" i="2" l="1"/>
  <c r="AA38" i="2"/>
  <c r="AA39" i="2" l="1"/>
  <c r="AB38" i="2"/>
  <c r="AC38" i="2" l="1"/>
  <c r="AB39" i="2"/>
  <c r="AC39" i="2" l="1"/>
  <c r="AD38" i="2"/>
  <c r="AE38" i="2" l="1"/>
  <c r="AD39" i="2"/>
  <c r="A40" i="2" l="1"/>
  <c r="B40" i="2" s="1"/>
  <c r="AF38" i="2"/>
  <c r="AH38" i="2" s="1"/>
  <c r="AE39" i="2"/>
  <c r="AF39" i="2" s="1"/>
  <c r="AH39" i="2" s="1"/>
  <c r="AJ38" i="2"/>
  <c r="C40" i="2" l="1"/>
  <c r="B41" i="2"/>
  <c r="D40" i="2" l="1"/>
  <c r="C41" i="2"/>
  <c r="D41" i="2" l="1"/>
  <c r="E40" i="2"/>
  <c r="E41" i="2" l="1"/>
  <c r="F40" i="2"/>
  <c r="F41" i="2" l="1"/>
  <c r="G40" i="2"/>
  <c r="G41" i="2" l="1"/>
  <c r="H40" i="2"/>
  <c r="H41" i="2" l="1"/>
  <c r="I40" i="2"/>
  <c r="I41" i="2" l="1"/>
  <c r="J40" i="2"/>
  <c r="J41" i="2" l="1"/>
  <c r="K40" i="2"/>
  <c r="K41" i="2" l="1"/>
  <c r="L40" i="2"/>
  <c r="M40" i="2" l="1"/>
  <c r="L41" i="2"/>
  <c r="N40" i="2" l="1"/>
  <c r="M41" i="2"/>
  <c r="O40" i="2" l="1"/>
  <c r="N41" i="2"/>
  <c r="P40" i="2" l="1"/>
  <c r="O41" i="2"/>
  <c r="P41" i="2" l="1"/>
  <c r="Q40" i="2"/>
  <c r="Q41" i="2" l="1"/>
  <c r="R40" i="2"/>
  <c r="R41" i="2" l="1"/>
  <c r="S40" i="2"/>
  <c r="S41" i="2" l="1"/>
  <c r="T40" i="2"/>
  <c r="T41" i="2" l="1"/>
  <c r="U40" i="2"/>
  <c r="U41" i="2" l="1"/>
  <c r="V40" i="2"/>
  <c r="W40" i="2" l="1"/>
  <c r="V41" i="2"/>
  <c r="W41" i="2" l="1"/>
  <c r="X40" i="2"/>
  <c r="Y40" i="2" l="1"/>
  <c r="X41" i="2"/>
  <c r="Z40" i="2" l="1"/>
  <c r="Y41" i="2"/>
  <c r="AA40" i="2" l="1"/>
  <c r="Z41" i="2"/>
  <c r="AB40" i="2" l="1"/>
  <c r="AA41" i="2"/>
  <c r="AB41" i="2" l="1"/>
  <c r="AC40" i="2"/>
  <c r="AC41" i="2" l="1"/>
  <c r="AD40" i="2"/>
  <c r="AD41" i="2" l="1"/>
  <c r="AE40" i="2"/>
  <c r="AE41" i="2" l="1"/>
  <c r="AF41" i="2" s="1"/>
  <c r="AH41" i="2" s="1"/>
  <c r="A42" i="2"/>
  <c r="B42" i="2" s="1"/>
  <c r="AF40" i="2"/>
  <c r="AH40" i="2" s="1"/>
  <c r="AJ40" i="2"/>
  <c r="B43" i="2" l="1"/>
  <c r="C42" i="2"/>
  <c r="C43" i="2" l="1"/>
  <c r="D42" i="2"/>
  <c r="E42" i="2" l="1"/>
  <c r="D43" i="2"/>
  <c r="E43" i="2" l="1"/>
  <c r="F42" i="2"/>
  <c r="G42" i="2" l="1"/>
  <c r="F43" i="2"/>
  <c r="H42" i="2" l="1"/>
  <c r="G43" i="2"/>
  <c r="H43" i="2" l="1"/>
  <c r="I42" i="2"/>
  <c r="J42" i="2" l="1"/>
  <c r="I43" i="2"/>
  <c r="J43" i="2" l="1"/>
  <c r="K42" i="2"/>
  <c r="K43" i="2" l="1"/>
  <c r="L42" i="2"/>
  <c r="L43" i="2" l="1"/>
  <c r="M42" i="2"/>
  <c r="M43" i="2" l="1"/>
  <c r="N42" i="2"/>
  <c r="N43" i="2" l="1"/>
  <c r="O42" i="2"/>
  <c r="O43" i="2" l="1"/>
  <c r="P42" i="2"/>
  <c r="Q42" i="2" l="1"/>
  <c r="P43" i="2"/>
  <c r="Q43" i="2" l="1"/>
  <c r="R42" i="2"/>
  <c r="S42" i="2" l="1"/>
  <c r="R43" i="2"/>
  <c r="T42" i="2" l="1"/>
  <c r="S43" i="2"/>
  <c r="T43" i="2" l="1"/>
  <c r="U42" i="2"/>
  <c r="V42" i="2" l="1"/>
  <c r="U43" i="2"/>
  <c r="V43" i="2" l="1"/>
  <c r="W42" i="2"/>
  <c r="W43" i="2" l="1"/>
  <c r="X42" i="2"/>
  <c r="X43" i="2" l="1"/>
  <c r="Y42" i="2"/>
  <c r="Y43" i="2" l="1"/>
  <c r="Z42" i="2"/>
  <c r="Z43" i="2" l="1"/>
  <c r="AA42" i="2"/>
  <c r="AA43" i="2" l="1"/>
  <c r="AB42" i="2"/>
  <c r="AB43" i="2" l="1"/>
  <c r="AC42" i="2"/>
  <c r="AC43" i="2" l="1"/>
  <c r="AD42" i="2"/>
  <c r="AE42" i="2" l="1"/>
  <c r="AD43" i="2"/>
  <c r="A44" i="2" l="1"/>
  <c r="B44" i="2" s="1"/>
  <c r="AF42" i="2"/>
  <c r="AH42" i="2" s="1"/>
  <c r="AJ42" i="2"/>
  <c r="AE43" i="2"/>
  <c r="AF43" i="2" s="1"/>
  <c r="AH43" i="2" s="1"/>
  <c r="C44" i="2" l="1"/>
  <c r="B45" i="2"/>
  <c r="D44" i="2" l="1"/>
  <c r="C45" i="2"/>
  <c r="D45" i="2" l="1"/>
  <c r="E44" i="2"/>
  <c r="E45" i="2" l="1"/>
  <c r="F44" i="2"/>
  <c r="F45" i="2" l="1"/>
  <c r="G44" i="2"/>
  <c r="G45" i="2" l="1"/>
  <c r="H44" i="2"/>
  <c r="H45" i="2" l="1"/>
  <c r="I44" i="2"/>
  <c r="I45" i="2" l="1"/>
  <c r="J44" i="2"/>
  <c r="J45" i="2" l="1"/>
  <c r="K44" i="2"/>
  <c r="K45" i="2" l="1"/>
  <c r="L44" i="2"/>
  <c r="M44" i="2" l="1"/>
  <c r="L45" i="2"/>
  <c r="N44" i="2" l="1"/>
  <c r="M45" i="2"/>
  <c r="O44" i="2" l="1"/>
  <c r="N45" i="2"/>
  <c r="P44" i="2" l="1"/>
  <c r="O45" i="2"/>
  <c r="P45" i="2" l="1"/>
  <c r="Q44" i="2"/>
  <c r="Q45" i="2" l="1"/>
  <c r="R44" i="2"/>
  <c r="R45" i="2" l="1"/>
  <c r="S44" i="2"/>
  <c r="S45" i="2" l="1"/>
  <c r="T44" i="2"/>
  <c r="T45" i="2" l="1"/>
  <c r="U44" i="2"/>
  <c r="U45" i="2" l="1"/>
  <c r="V44" i="2"/>
  <c r="V45" i="2" l="1"/>
  <c r="W44" i="2"/>
  <c r="W45" i="2" l="1"/>
  <c r="X44" i="2"/>
  <c r="Y44" i="2" l="1"/>
  <c r="X45" i="2"/>
  <c r="Z44" i="2" l="1"/>
  <c r="Y45" i="2"/>
  <c r="AA44" i="2" l="1"/>
  <c r="Z45" i="2"/>
  <c r="AB44" i="2" l="1"/>
  <c r="AA45" i="2"/>
  <c r="AB45" i="2" l="1"/>
  <c r="AC44" i="2"/>
  <c r="AC45" i="2" l="1"/>
  <c r="AD44" i="2"/>
  <c r="AD45" i="2" l="1"/>
  <c r="AE44" i="2"/>
  <c r="AE45" i="2" l="1"/>
  <c r="AF45" i="2" s="1"/>
  <c r="AH45" i="2" s="1"/>
  <c r="A46" i="2"/>
  <c r="B46" i="2" s="1"/>
  <c r="AJ44" i="2"/>
  <c r="AF44" i="2"/>
  <c r="AH44" i="2" s="1"/>
  <c r="B47" i="2" l="1"/>
  <c r="C46" i="2"/>
  <c r="C47" i="2" l="1"/>
  <c r="D46" i="2"/>
  <c r="E46" i="2" l="1"/>
  <c r="D47" i="2"/>
  <c r="E47" i="2" l="1"/>
  <c r="F46" i="2"/>
  <c r="G46" i="2" l="1"/>
  <c r="F47" i="2"/>
  <c r="H46" i="2" l="1"/>
  <c r="G47" i="2"/>
  <c r="H47" i="2" l="1"/>
  <c r="I46" i="2"/>
  <c r="J46" i="2" l="1"/>
  <c r="I47" i="2"/>
  <c r="J47" i="2" l="1"/>
  <c r="K46" i="2"/>
  <c r="K47" i="2" l="1"/>
  <c r="L46" i="2"/>
  <c r="L47" i="2" l="1"/>
  <c r="M46" i="2"/>
  <c r="M47" i="2" l="1"/>
  <c r="N46" i="2"/>
  <c r="N47" i="2" l="1"/>
  <c r="O46" i="2"/>
  <c r="O47" i="2" l="1"/>
  <c r="P46" i="2"/>
  <c r="Q46" i="2" l="1"/>
  <c r="P47" i="2"/>
  <c r="Q47" i="2" l="1"/>
  <c r="R46" i="2"/>
  <c r="S46" i="2" l="1"/>
  <c r="R47" i="2"/>
  <c r="T46" i="2" l="1"/>
  <c r="S47" i="2"/>
  <c r="U46" i="2" l="1"/>
  <c r="T47" i="2"/>
  <c r="V46" i="2" l="1"/>
  <c r="U47" i="2"/>
  <c r="V47" i="2" l="1"/>
  <c r="W46" i="2"/>
  <c r="W47" i="2" l="1"/>
  <c r="X46" i="2"/>
  <c r="X47" i="2" l="1"/>
  <c r="Y46" i="2"/>
  <c r="Y47" i="2" l="1"/>
  <c r="Z46" i="2"/>
  <c r="Z47" i="2" l="1"/>
  <c r="AA46" i="2"/>
  <c r="AA47" i="2" l="1"/>
  <c r="AB46" i="2"/>
  <c r="AB47" i="2" l="1"/>
  <c r="AC46" i="2"/>
  <c r="AC47" i="2" l="1"/>
  <c r="AD46" i="2"/>
  <c r="AE46" i="2" l="1"/>
  <c r="AD47" i="2"/>
  <c r="A48" i="2" l="1"/>
  <c r="B48" i="2" s="1"/>
  <c r="AF46" i="2"/>
  <c r="AH46" i="2" s="1"/>
  <c r="AJ46" i="2"/>
  <c r="AE47" i="2"/>
  <c r="AF47" i="2" s="1"/>
  <c r="AH47" i="2" s="1"/>
  <c r="C48" i="2" l="1"/>
  <c r="B49" i="2"/>
  <c r="D48" i="2" l="1"/>
  <c r="C49" i="2"/>
  <c r="D49" i="2" l="1"/>
  <c r="E48" i="2"/>
  <c r="E49" i="2" l="1"/>
  <c r="F48" i="2"/>
  <c r="F49" i="2" l="1"/>
  <c r="G48" i="2"/>
  <c r="G49" i="2" l="1"/>
  <c r="H48" i="2"/>
  <c r="H49" i="2" l="1"/>
  <c r="I48" i="2"/>
  <c r="I49" i="2" l="1"/>
  <c r="J48" i="2"/>
  <c r="J49" i="2" l="1"/>
  <c r="K48" i="2"/>
  <c r="K49" i="2" l="1"/>
  <c r="L48" i="2"/>
  <c r="M48" i="2" l="1"/>
  <c r="L49" i="2"/>
  <c r="N48" i="2" l="1"/>
  <c r="M49" i="2"/>
  <c r="O48" i="2" l="1"/>
  <c r="N49" i="2"/>
  <c r="P48" i="2" l="1"/>
  <c r="O49" i="2"/>
  <c r="P49" i="2" l="1"/>
  <c r="Q48" i="2"/>
  <c r="Q49" i="2" l="1"/>
  <c r="R48" i="2"/>
  <c r="R49" i="2" l="1"/>
  <c r="S48" i="2"/>
  <c r="S49" i="2" l="1"/>
  <c r="T48" i="2"/>
  <c r="T49" i="2" l="1"/>
  <c r="U48" i="2"/>
  <c r="U49" i="2" l="1"/>
  <c r="V48" i="2"/>
  <c r="V49" i="2" l="1"/>
  <c r="W48" i="2"/>
  <c r="W49" i="2" l="1"/>
  <c r="X48" i="2"/>
  <c r="Y48" i="2" l="1"/>
  <c r="X49" i="2"/>
  <c r="Z48" i="2" l="1"/>
  <c r="Y49" i="2"/>
  <c r="Z49" i="2" l="1"/>
  <c r="AA48" i="2"/>
  <c r="AB48" i="2" l="1"/>
  <c r="AA49" i="2"/>
  <c r="AB49" i="2" l="1"/>
  <c r="AC48" i="2"/>
  <c r="AC49" i="2" l="1"/>
  <c r="AD48" i="2"/>
  <c r="AD49" i="2" l="1"/>
  <c r="AE48" i="2"/>
  <c r="AE49" i="2" l="1"/>
  <c r="AF49" i="2" s="1"/>
  <c r="AH49" i="2" s="1"/>
  <c r="A50" i="2"/>
  <c r="B50" i="2" s="1"/>
  <c r="AF48" i="2"/>
  <c r="AH48" i="2" s="1"/>
  <c r="AJ48" i="2"/>
  <c r="B51" i="2" l="1"/>
  <c r="C50" i="2"/>
  <c r="C51" i="2" l="1"/>
  <c r="D50" i="2"/>
  <c r="E50" i="2" l="1"/>
  <c r="D51" i="2"/>
  <c r="E51" i="2" l="1"/>
  <c r="F50" i="2"/>
  <c r="G50" i="2" l="1"/>
  <c r="F51" i="2"/>
  <c r="H50" i="2" l="1"/>
  <c r="G51" i="2"/>
  <c r="I50" i="2" l="1"/>
  <c r="H51" i="2"/>
  <c r="J50" i="2" l="1"/>
  <c r="I51" i="2"/>
  <c r="J51" i="2" l="1"/>
  <c r="K50" i="2"/>
  <c r="K51" i="2" l="1"/>
  <c r="L50" i="2"/>
  <c r="L51" i="2" l="1"/>
  <c r="M50" i="2"/>
  <c r="M51" i="2" l="1"/>
  <c r="N50" i="2"/>
  <c r="N51" i="2" l="1"/>
  <c r="O50" i="2"/>
  <c r="P50" i="2" l="1"/>
  <c r="O51" i="2"/>
  <c r="P51" i="2" l="1"/>
  <c r="Q50" i="2"/>
  <c r="Q51" i="2" l="1"/>
  <c r="R50" i="2"/>
  <c r="S50" i="2" l="1"/>
  <c r="R51" i="2"/>
  <c r="T50" i="2" l="1"/>
  <c r="S51" i="2"/>
  <c r="U50" i="2" l="1"/>
  <c r="T51" i="2"/>
  <c r="V50" i="2" l="1"/>
  <c r="U51" i="2"/>
  <c r="V51" i="2" l="1"/>
  <c r="W50" i="2"/>
  <c r="W51" i="2" l="1"/>
  <c r="X50" i="2"/>
  <c r="X51" i="2" l="1"/>
  <c r="Y50" i="2"/>
  <c r="Y51" i="2" l="1"/>
  <c r="Z50" i="2"/>
  <c r="Z51" i="2" l="1"/>
  <c r="AA50" i="2"/>
  <c r="AA51" i="2" l="1"/>
  <c r="AB50" i="2"/>
  <c r="AC50" i="2" l="1"/>
  <c r="AB51" i="2"/>
  <c r="AC51" i="2" l="1"/>
  <c r="AD50" i="2"/>
  <c r="AE50" i="2" l="1"/>
  <c r="AD51" i="2"/>
  <c r="A52" i="2" l="1"/>
  <c r="B52" i="2" s="1"/>
  <c r="AF50" i="2"/>
  <c r="AH50" i="2" s="1"/>
  <c r="AE51" i="2"/>
  <c r="AF51" i="2" s="1"/>
  <c r="AH51" i="2" s="1"/>
  <c r="AJ50" i="2"/>
  <c r="C52" i="2" l="1"/>
  <c r="B53" i="2"/>
  <c r="D52" i="2" l="1"/>
  <c r="C53" i="2"/>
  <c r="D53" i="2" l="1"/>
  <c r="E52" i="2"/>
  <c r="E53" i="2" l="1"/>
  <c r="F52" i="2"/>
  <c r="F53" i="2" l="1"/>
  <c r="G52" i="2"/>
  <c r="G53" i="2" l="1"/>
  <c r="H52" i="2"/>
  <c r="H53" i="2" l="1"/>
  <c r="I52" i="2"/>
  <c r="J52" i="2" l="1"/>
  <c r="I53" i="2"/>
  <c r="K52" i="2" l="1"/>
  <c r="J53" i="2"/>
  <c r="K53" i="2" l="1"/>
  <c r="L52" i="2"/>
  <c r="M52" i="2" l="1"/>
  <c r="L53" i="2"/>
  <c r="N52" i="2" l="1"/>
  <c r="M53" i="2"/>
  <c r="N53" i="2" l="1"/>
  <c r="O52" i="2"/>
  <c r="P52" i="2" l="1"/>
  <c r="O53" i="2"/>
  <c r="P53" i="2" l="1"/>
  <c r="Q52" i="2"/>
  <c r="Q53" i="2" l="1"/>
  <c r="R52" i="2"/>
  <c r="R53" i="2" l="1"/>
  <c r="S52" i="2"/>
  <c r="S53" i="2" l="1"/>
  <c r="T52" i="2"/>
  <c r="T53" i="2" l="1"/>
  <c r="U52" i="2"/>
  <c r="U53" i="2" l="1"/>
  <c r="V52" i="2"/>
  <c r="V53" i="2" l="1"/>
  <c r="W52" i="2"/>
  <c r="W53" i="2" l="1"/>
  <c r="X52" i="2"/>
  <c r="Y52" i="2" l="1"/>
  <c r="X53" i="2"/>
  <c r="Z52" i="2" l="1"/>
  <c r="Y53" i="2"/>
  <c r="Z53" i="2" l="1"/>
  <c r="AA52" i="2"/>
  <c r="AB52" i="2" l="1"/>
  <c r="AA53" i="2"/>
  <c r="AB53" i="2" l="1"/>
  <c r="AC52" i="2"/>
  <c r="AC53" i="2" l="1"/>
  <c r="AD52" i="2"/>
  <c r="AD53" i="2" l="1"/>
  <c r="AE52" i="2"/>
  <c r="AE53" i="2" l="1"/>
  <c r="AF53" i="2" s="1"/>
  <c r="AH53" i="2" s="1"/>
  <c r="AF52" i="2"/>
  <c r="AH52" i="2" s="1"/>
  <c r="A54" i="2"/>
  <c r="B54" i="2" s="1"/>
  <c r="C54" i="2" s="1"/>
  <c r="D54" i="2" s="1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O54" i="2" s="1"/>
  <c r="P54" i="2" s="1"/>
  <c r="Q54" i="2" s="1"/>
  <c r="R54" i="2" s="1"/>
  <c r="S54" i="2" s="1"/>
  <c r="T54" i="2" s="1"/>
  <c r="U54" i="2" s="1"/>
  <c r="V54" i="2" s="1"/>
  <c r="W54" i="2" s="1"/>
  <c r="X54" i="2" s="1"/>
  <c r="Y54" i="2" s="1"/>
  <c r="Z54" i="2" s="1"/>
  <c r="AA54" i="2" s="1"/>
  <c r="AB54" i="2" s="1"/>
  <c r="AC54" i="2" s="1"/>
  <c r="AD54" i="2" s="1"/>
  <c r="AE54" i="2" s="1"/>
  <c r="AJ52" i="2"/>
  <c r="AF54" i="2" l="1"/>
  <c r="AH54" i="2" s="1"/>
  <c r="AJ5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<sst xmlns="http://schemas.openxmlformats.org/spreadsheetml/2006/main" count="70" uniqueCount="46">
  <si>
    <t>Gerçekleşme</t>
  </si>
  <si>
    <t>Total Fark</t>
  </si>
  <si>
    <t>Günlük Fark</t>
  </si>
  <si>
    <t>Aylık Hedefe Kalan</t>
  </si>
  <si>
    <t>Son Durum</t>
  </si>
  <si>
    <t>Gerçekleşme Yüzdesi</t>
  </si>
  <si>
    <t>Geçen Gün Yüzdesi</t>
  </si>
  <si>
    <t>Toplam Kar/Zarar</t>
  </si>
  <si>
    <t>Aylık Getiri Hedefi</t>
  </si>
  <si>
    <t>Gerçekleşen Aylık Getiri Oranı</t>
  </si>
  <si>
    <t>TL Karşılığı</t>
  </si>
  <si>
    <t>Aylar</t>
  </si>
  <si>
    <t>Aralık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</si>
  <si>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</si>
  <si>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</si>
  <si>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</si>
  <si>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</si>
  <si>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</si>
  <si>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</si>
  <si>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</si>
  <si>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</si>
  <si>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</si>
  <si>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</si>
  <si>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</si>
  <si>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Yıllık Getiri Oranı</t>
  </si>
  <si>
    <t>Toplam AySonu TL</t>
  </si>
  <si>
    <t>özet</t>
  </si>
  <si>
    <t>Başlangıç</t>
  </si>
  <si>
    <t>1.Yıl Sonu</t>
  </si>
  <si>
    <t>2.Yıl Sonu</t>
  </si>
  <si>
    <t>Günlük Çarpan</t>
  </si>
  <si>
    <t>baslik1</t>
  </si>
  <si>
    <t>veri11</t>
  </si>
  <si>
    <t>baslik2</t>
  </si>
  <si>
    <t>veri21</t>
  </si>
  <si>
    <t>baslik3</t>
  </si>
  <si>
    <t>veri31</t>
  </si>
  <si>
    <t>baslik4</t>
  </si>
  <si>
    <t>veri41</t>
  </si>
  <si>
    <t>baslik5</t>
  </si>
  <si>
    <t>veri51</t>
  </si>
  <si>
    <t>veri12</t>
  </si>
  <si>
    <t>veri22</t>
  </si>
  <si>
    <t>veri32</t>
  </si>
  <si>
    <t>veri42</t>
  </si>
  <si>
    <t>veri52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</si>
</sst>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_-[$$-409]* #,##0_ ;_-[$$-409]* \-#,##0\ ;_-[$$-409]* &quot;-&quot;??_ ;_-@_ "/>
    <numFmt numFmtId="167" formatCode="_-* #,##0.0000_-;\-* #,##0.00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16" fontId="0" fillId="0" borderId="0" xfId="0" applyNumberFormat="1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43" fontId="0" fillId="0" borderId="0" xfId="1" applyFont="1"/>
    <xf numFmtId="165" fontId="0" fillId="0" borderId="0" xfId="1" applyNumberFormat="1" applyFont="1"/>
    <xf numFmtId="165" fontId="2" fillId="4" borderId="0" xfId="1" applyNumberFormat="1" applyFont="1" applyFill="1"/>
    <xf numFmtId="166" fontId="0" fillId="0" borderId="0" xfId="1" applyNumberFormat="1" applyFont="1"/>
    <xf numFmtId="166" fontId="0" fillId="3" borderId="0" xfId="1" applyNumberFormat="1" applyFont="1" applyFill="1"/>
    <xf numFmtId="166" fontId="0" fillId="2" borderId="0" xfId="1" applyNumberFormat="1" applyFont="1" applyFill="1"/>
    <xf numFmtId="167" fontId="0" fillId="0" borderId="0" xfId="1" applyNumberFormat="1" applyFont="1"/>
    <xf numFmtId="9" fontId="2" fillId="4" borderId="0" xfId="2" applyFont="1" applyFill="1"/>
    <xf numFmtId="14" fontId="0" fillId="0" borderId="0" xfId="0" applyNumberFormat="1"/>
    <xf numFmtId="14" fontId="0" fillId="0" borderId="0" xfId="1" applyNumberFormat="1" applyFont="1"/>
  </cellXfs>
  <cellStyles count="3">
    <cellStyle name="Normal" xfId="0" builtinId="0"/>
    <cellStyle name="Virgül" xfId="1" builtinId="3"/>
    <cellStyle name="Yüzd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3:AH24"/>
  <sheetViews>
    <sheetView tabSelected="1" zoomScale="90" zoomScaleNormal="90" workbookViewId="0">
      <selection activeCell="Z31" sqref="Z31"/>
    </sheetView>
  </sheetViews>
  <sheetFormatPr defaultColWidth="7.28515625" defaultRowHeight="15" x14ac:dyDescent="0.25"/>
  <cols>
    <col min="1" max="1" width="11.140625" customWidth="1"/>
    <col min="32" max="32" width="10.28515625" customWidth="1"/>
    <col min="33" max="33" width="19.140625" customWidth="1"/>
    <col min="34" max="34" width="15.85546875" customWidth="1"/>
  </cols>
  <sheetData>
    <row r="3" spans="1:33" x14ac:dyDescent="0.25">
      <c r="B3" s="3">
        <v>44863</v>
      </c>
      <c r="C3" s="3">
        <v>44864</v>
      </c>
      <c r="D3" s="3">
        <v>44865</v>
      </c>
      <c r="E3" s="3">
        <v>44866</v>
      </c>
      <c r="F3" s="3">
        <v>44867</v>
      </c>
      <c r="G3" s="3">
        <v>44868</v>
      </c>
      <c r="H3" s="3">
        <v>44869</v>
      </c>
      <c r="I3" s="3">
        <v>44870</v>
      </c>
      <c r="J3" s="3">
        <v>44871</v>
      </c>
      <c r="K3" s="3">
        <v>44872</v>
      </c>
      <c r="L3" s="3">
        <v>44873</v>
      </c>
      <c r="M3" s="3">
        <v>44874</v>
      </c>
      <c r="N3" s="3">
        <v>44875</v>
      </c>
      <c r="O3" s="3">
        <v>44876</v>
      </c>
      <c r="P3" s="3">
        <v>44877</v>
      </c>
      <c r="Q3" s="3">
        <v>44878</v>
      </c>
      <c r="R3" s="3">
        <v>44879</v>
      </c>
      <c r="S3" s="3">
        <v>44880</v>
      </c>
      <c r="T3" s="3">
        <v>44881</v>
      </c>
      <c r="U3" s="3">
        <v>44882</v>
      </c>
      <c r="V3" s="3">
        <v>44883</v>
      </c>
      <c r="W3" s="3">
        <v>44884</v>
      </c>
      <c r="X3" s="3">
        <v>44885</v>
      </c>
      <c r="Y3" s="3">
        <v>44886</v>
      </c>
      <c r="Z3" s="3">
        <v>44887</v>
      </c>
      <c r="AA3" s="3">
        <v>44888</v>
      </c>
      <c r="AB3" s="3">
        <v>44889</v>
      </c>
      <c r="AC3" s="3">
        <v>44890</v>
      </c>
      <c r="AD3" s="3">
        <v>44891</v>
      </c>
      <c r="AE3" s="3">
        <v>44892</v>
      </c>
    </row>
    <row r="4" spans="1:33" x14ac:dyDescent="0.25">
      <c r="J4">
        <v>1.01</v>
      </c>
    </row>
    <row r="5" spans="1:33" x14ac:dyDescent="0.25"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>
        <v>13</v>
      </c>
      <c r="O5">
        <v>14</v>
      </c>
      <c r="P5">
        <v>15</v>
      </c>
      <c r="Q5">
        <v>16</v>
      </c>
      <c r="R5">
        <v>17</v>
      </c>
      <c r="S5">
        <v>18</v>
      </c>
      <c r="T5">
        <v>19</v>
      </c>
      <c r="U5">
        <v>20</v>
      </c>
      <c r="V5">
        <v>21</v>
      </c>
      <c r="W5">
        <v>22</v>
      </c>
      <c r="X5">
        <v>23</v>
      </c>
      <c r="Y5">
        <v>24</v>
      </c>
      <c r="Z5">
        <v>25</v>
      </c>
      <c r="AA5">
        <v>26</v>
      </c>
      <c r="AB5">
        <v>27</v>
      </c>
      <c r="AC5">
        <v>28</v>
      </c>
      <c r="AD5">
        <v>29</v>
      </c>
      <c r="AE5">
        <v>30</v>
      </c>
    </row>
    <row r="6" spans="1:33" x14ac:dyDescent="0.25">
      <c r="A6">
        <v>545</v>
      </c>
      <c r="B6">
        <f t="shared" ref="B6:H6" si="0">A6*$J$4</f>
        <v>550.45000000000005</v>
      </c>
      <c r="C6">
        <f t="shared" si="0"/>
        <v>555.95450000000005</v>
      </c>
      <c r="D6">
        <f t="shared" si="0"/>
        <v>561.51404500000001</v>
      </c>
      <c r="E6">
        <f t="shared" si="0"/>
        <v>567.12918545000002</v>
      </c>
      <c r="F6">
        <f t="shared" si="0"/>
        <v>572.80047730450008</v>
      </c>
      <c r="G6">
        <f t="shared" si="0"/>
        <v>578.52848207754505</v>
      </c>
      <c r="H6">
        <f t="shared" si="0"/>
        <v>584.31376689832052</v>
      </c>
      <c r="I6" s="2">
        <f>H6-A6</f>
        <v>39.313766898320523</v>
      </c>
    </row>
    <row r="7" spans="1:33" x14ac:dyDescent="0.25">
      <c r="A7">
        <v>545</v>
      </c>
      <c r="B7">
        <f>B6-A6</f>
        <v>5.4500000000000455</v>
      </c>
      <c r="C7">
        <f t="shared" ref="C7:H7" si="1">C6-B6</f>
        <v>5.5045000000000073</v>
      </c>
      <c r="D7">
        <f t="shared" si="1"/>
        <v>5.5595449999999573</v>
      </c>
      <c r="E7">
        <f t="shared" si="1"/>
        <v>5.6151404500000126</v>
      </c>
      <c r="F7">
        <f t="shared" si="1"/>
        <v>5.6712918545000548</v>
      </c>
      <c r="G7">
        <f t="shared" si="1"/>
        <v>5.7280047730449724</v>
      </c>
      <c r="H7">
        <f t="shared" si="1"/>
        <v>5.7852848207754732</v>
      </c>
      <c r="I7" s="1">
        <f>AVERAGE(B7:H7)</f>
        <v>5.616252414045789</v>
      </c>
      <c r="AG7" t="s">
        <v>8</v>
      </c>
    </row>
    <row r="8" spans="1:33" x14ac:dyDescent="0.25">
      <c r="A8">
        <v>545</v>
      </c>
      <c r="B8">
        <f t="shared" ref="B8:H8" si="2">A8*$J$4</f>
        <v>550.45000000000005</v>
      </c>
      <c r="C8">
        <f t="shared" si="2"/>
        <v>555.95450000000005</v>
      </c>
      <c r="D8">
        <f t="shared" si="2"/>
        <v>561.51404500000001</v>
      </c>
      <c r="E8">
        <f t="shared" si="2"/>
        <v>567.12918545000002</v>
      </c>
      <c r="F8">
        <f t="shared" si="2"/>
        <v>572.80047730450008</v>
      </c>
      <c r="G8">
        <f t="shared" si="2"/>
        <v>578.52848207754505</v>
      </c>
      <c r="H8">
        <f t="shared" si="2"/>
        <v>584.31376689832052</v>
      </c>
      <c r="I8">
        <f t="shared" ref="I8:AE8" si="3">H8*$J$4</f>
        <v>590.15690456730374</v>
      </c>
      <c r="J8">
        <f t="shared" si="3"/>
        <v>596.05847361297674</v>
      </c>
      <c r="K8">
        <f t="shared" si="3"/>
        <v>602.01905834910656</v>
      </c>
      <c r="L8">
        <f t="shared" si="3"/>
        <v>608.03924893259762</v>
      </c>
      <c r="M8">
        <f t="shared" si="3"/>
        <v>614.11964142192357</v>
      </c>
      <c r="N8">
        <f t="shared" si="3"/>
        <v>620.26083783614285</v>
      </c>
      <c r="O8">
        <f t="shared" si="3"/>
        <v>626.4634462145043</v>
      </c>
      <c r="P8">
        <f t="shared" si="3"/>
        <v>632.72808067664937</v>
      </c>
      <c r="Q8">
        <f t="shared" si="3"/>
        <v>639.05536148341582</v>
      </c>
      <c r="R8">
        <f t="shared" si="3"/>
        <v>645.44591509825</v>
      </c>
      <c r="S8">
        <f t="shared" si="3"/>
        <v>651.90037424923253</v>
      </c>
      <c r="T8">
        <f t="shared" si="3"/>
        <v>658.4193779917249</v>
      </c>
      <c r="U8">
        <f t="shared" si="3"/>
        <v>665.0035717716421</v>
      </c>
      <c r="V8">
        <f t="shared" si="3"/>
        <v>671.65360748935848</v>
      </c>
      <c r="W8">
        <f t="shared" si="3"/>
        <v>678.37014356425209</v>
      </c>
      <c r="X8">
        <f t="shared" si="3"/>
        <v>685.15384499989466</v>
      </c>
      <c r="Y8">
        <f t="shared" si="3"/>
        <v>692.00538344989366</v>
      </c>
      <c r="Z8">
        <f t="shared" si="3"/>
        <v>698.92543728439261</v>
      </c>
      <c r="AA8">
        <f t="shared" si="3"/>
        <v>705.91469165723652</v>
      </c>
      <c r="AB8">
        <f t="shared" si="3"/>
        <v>712.97383857380885</v>
      </c>
      <c r="AC8">
        <f t="shared" si="3"/>
        <v>720.1035769595469</v>
      </c>
      <c r="AD8">
        <f t="shared" si="3"/>
        <v>727.30461272914238</v>
      </c>
      <c r="AE8">
        <f t="shared" si="3"/>
        <v>734.5776588564338</v>
      </c>
      <c r="AF8" s="2">
        <f>AE8-A8</f>
        <v>189.5776588564338</v>
      </c>
      <c r="AG8">
        <f>AF8/A8</f>
        <v>0.34784891533290607</v>
      </c>
    </row>
    <row r="9" spans="1:33" x14ac:dyDescent="0.25">
      <c r="B9">
        <f>B8-A8</f>
        <v>5.4500000000000455</v>
      </c>
      <c r="C9">
        <f t="shared" ref="C9:AE9" si="4">C8-B8</f>
        <v>5.5045000000000073</v>
      </c>
      <c r="D9">
        <f t="shared" si="4"/>
        <v>5.5595449999999573</v>
      </c>
      <c r="E9">
        <f t="shared" si="4"/>
        <v>5.6151404500000126</v>
      </c>
      <c r="F9">
        <f t="shared" si="4"/>
        <v>5.6712918545000548</v>
      </c>
      <c r="G9">
        <f t="shared" si="4"/>
        <v>5.7280047730449724</v>
      </c>
      <c r="H9">
        <f t="shared" si="4"/>
        <v>5.7852848207754732</v>
      </c>
      <c r="I9">
        <f t="shared" si="4"/>
        <v>5.8431376689832177</v>
      </c>
      <c r="J9">
        <f t="shared" si="4"/>
        <v>5.9015690456729999</v>
      </c>
      <c r="K9">
        <f t="shared" si="4"/>
        <v>5.9605847361298174</v>
      </c>
      <c r="L9">
        <f t="shared" si="4"/>
        <v>6.0201905834910576</v>
      </c>
      <c r="M9">
        <f t="shared" si="4"/>
        <v>6.0803924893259591</v>
      </c>
      <c r="N9">
        <f t="shared" si="4"/>
        <v>6.1411964142192801</v>
      </c>
      <c r="O9">
        <f t="shared" si="4"/>
        <v>6.2026083783614467</v>
      </c>
      <c r="P9">
        <f t="shared" si="4"/>
        <v>6.264634462145068</v>
      </c>
      <c r="Q9">
        <f t="shared" si="4"/>
        <v>6.3272808067664528</v>
      </c>
      <c r="R9">
        <f t="shared" si="4"/>
        <v>6.3905536148341753</v>
      </c>
      <c r="S9">
        <f t="shared" si="4"/>
        <v>6.4544591509825295</v>
      </c>
      <c r="T9">
        <f t="shared" si="4"/>
        <v>6.519003742492373</v>
      </c>
      <c r="U9">
        <f t="shared" si="4"/>
        <v>6.5841937799172001</v>
      </c>
      <c r="V9">
        <f t="shared" si="4"/>
        <v>6.6500357177163778</v>
      </c>
      <c r="W9">
        <f t="shared" si="4"/>
        <v>6.7165360748936109</v>
      </c>
      <c r="X9">
        <f t="shared" si="4"/>
        <v>6.7837014356425698</v>
      </c>
      <c r="Y9">
        <f t="shared" si="4"/>
        <v>6.8515384499989977</v>
      </c>
      <c r="Z9">
        <f t="shared" si="4"/>
        <v>6.9200538344989582</v>
      </c>
      <c r="AA9">
        <f t="shared" si="4"/>
        <v>6.9892543728439023</v>
      </c>
      <c r="AB9">
        <f t="shared" si="4"/>
        <v>7.0591469165723311</v>
      </c>
      <c r="AC9">
        <f t="shared" si="4"/>
        <v>7.129738385738051</v>
      </c>
      <c r="AD9">
        <f t="shared" si="4"/>
        <v>7.2010357695954781</v>
      </c>
      <c r="AE9">
        <f t="shared" si="4"/>
        <v>7.2730461272914226</v>
      </c>
      <c r="AF9" s="1">
        <f>AVERAGE(B9:AE9)</f>
        <v>6.3192552952144601</v>
      </c>
    </row>
    <row r="10" spans="1:33" x14ac:dyDescent="0.25">
      <c r="A10">
        <f>AE8</f>
        <v>734.5776588564338</v>
      </c>
      <c r="B10">
        <f>A10*$J$4</f>
        <v>741.92343544499818</v>
      </c>
      <c r="C10">
        <f t="shared" ref="C10:AE10" si="5">B10*$J$4</f>
        <v>749.34266979944812</v>
      </c>
      <c r="D10">
        <f t="shared" si="5"/>
        <v>756.83609649744255</v>
      </c>
      <c r="E10">
        <f t="shared" si="5"/>
        <v>764.40445746241699</v>
      </c>
      <c r="F10">
        <f t="shared" si="5"/>
        <v>772.0485020370412</v>
      </c>
      <c r="G10">
        <f t="shared" si="5"/>
        <v>779.76898705741166</v>
      </c>
      <c r="H10">
        <f t="shared" si="5"/>
        <v>787.56667692798578</v>
      </c>
      <c r="I10">
        <f t="shared" si="5"/>
        <v>795.44234369726564</v>
      </c>
      <c r="J10">
        <f t="shared" si="5"/>
        <v>803.3967671342383</v>
      </c>
      <c r="K10">
        <f t="shared" si="5"/>
        <v>811.43073480558064</v>
      </c>
      <c r="L10">
        <f t="shared" si="5"/>
        <v>819.54504215363647</v>
      </c>
      <c r="M10">
        <f t="shared" si="5"/>
        <v>827.74049257517288</v>
      </c>
      <c r="N10">
        <f t="shared" si="5"/>
        <v>836.01789750092462</v>
      </c>
      <c r="O10">
        <f t="shared" si="5"/>
        <v>844.37807647593388</v>
      </c>
      <c r="P10">
        <f t="shared" si="5"/>
        <v>852.82185724069325</v>
      </c>
      <c r="Q10">
        <f t="shared" si="5"/>
        <v>861.35007581310015</v>
      </c>
      <c r="R10">
        <f t="shared" si="5"/>
        <v>869.9635765712311</v>
      </c>
      <c r="S10">
        <f t="shared" si="5"/>
        <v>878.66321233694339</v>
      </c>
      <c r="T10">
        <f t="shared" si="5"/>
        <v>887.44984446031287</v>
      </c>
      <c r="U10">
        <f t="shared" si="5"/>
        <v>896.32434290491597</v>
      </c>
      <c r="V10">
        <f t="shared" si="5"/>
        <v>905.28758633396512</v>
      </c>
      <c r="W10">
        <f t="shared" si="5"/>
        <v>914.34046219730476</v>
      </c>
      <c r="X10">
        <f t="shared" si="5"/>
        <v>923.48386681927786</v>
      </c>
      <c r="Y10">
        <f t="shared" si="5"/>
        <v>932.71870548747063</v>
      </c>
      <c r="Z10">
        <f t="shared" si="5"/>
        <v>942.04589254234531</v>
      </c>
      <c r="AA10">
        <f t="shared" si="5"/>
        <v>951.46635146776873</v>
      </c>
      <c r="AB10">
        <f t="shared" si="5"/>
        <v>960.98101498244648</v>
      </c>
      <c r="AC10">
        <f t="shared" si="5"/>
        <v>970.59082513227099</v>
      </c>
      <c r="AD10">
        <f t="shared" si="5"/>
        <v>980.29673338359373</v>
      </c>
      <c r="AE10">
        <f t="shared" si="5"/>
        <v>990.09970071742964</v>
      </c>
      <c r="AF10" s="2">
        <f t="shared" ref="AF10" si="6">AE10-A10</f>
        <v>255.52204186099584</v>
      </c>
    </row>
    <row r="11" spans="1:33" x14ac:dyDescent="0.25">
      <c r="B11">
        <f>B10-A10</f>
        <v>7.3457765885643767</v>
      </c>
      <c r="C11">
        <f t="shared" ref="C11:AE11" si="7">C10-B10</f>
        <v>7.4192343544499408</v>
      </c>
      <c r="D11">
        <f t="shared" si="7"/>
        <v>7.4934266979944368</v>
      </c>
      <c r="E11">
        <f t="shared" si="7"/>
        <v>7.5683609649744312</v>
      </c>
      <c r="F11">
        <f t="shared" si="7"/>
        <v>7.6440445746242176</v>
      </c>
      <c r="G11">
        <f t="shared" si="7"/>
        <v>7.7204850203704609</v>
      </c>
      <c r="H11">
        <f t="shared" si="7"/>
        <v>7.7976898705741178</v>
      </c>
      <c r="I11">
        <f t="shared" si="7"/>
        <v>7.8756667692798601</v>
      </c>
      <c r="J11">
        <f t="shared" si="7"/>
        <v>7.954423436972661</v>
      </c>
      <c r="K11">
        <f t="shared" si="7"/>
        <v>8.0339676713423387</v>
      </c>
      <c r="L11">
        <f t="shared" si="7"/>
        <v>8.1143073480558314</v>
      </c>
      <c r="M11">
        <f t="shared" si="7"/>
        <v>8.1954504215364068</v>
      </c>
      <c r="N11">
        <f t="shared" si="7"/>
        <v>8.277404925751739</v>
      </c>
      <c r="O11">
        <f t="shared" si="7"/>
        <v>8.3601789750092621</v>
      </c>
      <c r="P11">
        <f t="shared" si="7"/>
        <v>8.4437807647593672</v>
      </c>
      <c r="Q11">
        <f t="shared" si="7"/>
        <v>8.5282185724068995</v>
      </c>
      <c r="R11">
        <f t="shared" si="7"/>
        <v>8.6135007581309537</v>
      </c>
      <c r="S11">
        <f t="shared" si="7"/>
        <v>8.6996357657122871</v>
      </c>
      <c r="T11">
        <f t="shared" si="7"/>
        <v>8.7866321233694862</v>
      </c>
      <c r="U11">
        <f t="shared" si="7"/>
        <v>8.8744984446030912</v>
      </c>
      <c r="V11">
        <f t="shared" si="7"/>
        <v>8.9632434290491574</v>
      </c>
      <c r="W11">
        <f t="shared" si="7"/>
        <v>9.0528758633396365</v>
      </c>
      <c r="X11">
        <f t="shared" si="7"/>
        <v>9.1434046219731044</v>
      </c>
      <c r="Y11">
        <f t="shared" si="7"/>
        <v>9.234838668192765</v>
      </c>
      <c r="Z11">
        <f t="shared" si="7"/>
        <v>9.3271870548746847</v>
      </c>
      <c r="AA11">
        <f t="shared" si="7"/>
        <v>9.4204589254234179</v>
      </c>
      <c r="AB11">
        <f t="shared" si="7"/>
        <v>9.5146635146777498</v>
      </c>
      <c r="AC11">
        <f t="shared" si="7"/>
        <v>9.6098101498245114</v>
      </c>
      <c r="AD11">
        <f t="shared" si="7"/>
        <v>9.7059082513227395</v>
      </c>
      <c r="AE11">
        <f t="shared" si="7"/>
        <v>9.8029673338359089</v>
      </c>
      <c r="AF11" s="1">
        <f t="shared" ref="AF11" si="8">AVERAGE(B11:AE11)</f>
        <v>8.5174013953665284</v>
      </c>
    </row>
    <row r="13" spans="1:33" x14ac:dyDescent="0.25">
      <c r="B13" t="s">
        <v>0</v>
      </c>
    </row>
    <row r="14" spans="1:33" x14ac:dyDescent="0.25">
      <c r="B14" s="3">
        <v>44863</v>
      </c>
      <c r="C14" s="3">
        <v>44864</v>
      </c>
      <c r="D14" s="3">
        <v>44865</v>
      </c>
      <c r="E14" s="3">
        <v>44866</v>
      </c>
      <c r="F14" s="3">
        <v>44867</v>
      </c>
      <c r="G14" s="3">
        <v>44868</v>
      </c>
      <c r="H14" s="3">
        <v>44869</v>
      </c>
      <c r="I14" s="3">
        <v>44870</v>
      </c>
      <c r="J14" s="3">
        <v>44871</v>
      </c>
      <c r="K14" s="3">
        <v>44872</v>
      </c>
      <c r="L14" s="3">
        <v>44873</v>
      </c>
      <c r="M14" s="3">
        <v>44874</v>
      </c>
      <c r="N14" s="3">
        <v>44875</v>
      </c>
      <c r="O14" s="3">
        <v>44876</v>
      </c>
      <c r="P14" s="3">
        <v>44877</v>
      </c>
      <c r="Q14" s="3">
        <v>44878</v>
      </c>
      <c r="R14" s="3">
        <v>44879</v>
      </c>
      <c r="S14" s="3">
        <v>44880</v>
      </c>
      <c r="T14" s="3">
        <v>44881</v>
      </c>
      <c r="U14" s="3">
        <v>44882</v>
      </c>
      <c r="V14" s="3">
        <v>44883</v>
      </c>
      <c r="W14" s="3">
        <v>44884</v>
      </c>
      <c r="X14" s="3">
        <v>44885</v>
      </c>
      <c r="Y14" s="3">
        <v>44886</v>
      </c>
      <c r="Z14" s="3">
        <v>44887</v>
      </c>
      <c r="AA14" s="3">
        <v>44888</v>
      </c>
      <c r="AB14" s="3">
        <v>44889</v>
      </c>
      <c r="AC14" s="3">
        <v>44890</v>
      </c>
      <c r="AD14" s="3">
        <v>44891</v>
      </c>
      <c r="AE14" s="3">
        <v>44892</v>
      </c>
      <c r="AF14" t="s">
        <v>4</v>
      </c>
      <c r="AG14" t="s">
        <v>9</v>
      </c>
    </row>
    <row r="15" spans="1:33" x14ac:dyDescent="0.25">
      <c r="B15">
        <v>572</v>
      </c>
      <c r="C15">
        <v>594</v>
      </c>
      <c r="D15">
        <v>590</v>
      </c>
      <c r="E15">
        <v>576</v>
      </c>
      <c r="F15">
        <v>577</v>
      </c>
      <c r="G15">
        <v>589</v>
      </c>
      <c r="H15">
        <v>605</v>
      </c>
      <c r="I15">
        <v>605</v>
      </c>
      <c r="J15">
        <v>605</v>
      </c>
      <c r="K15">
        <v>605</v>
      </c>
      <c r="L15">
        <v>595</v>
      </c>
      <c r="M15">
        <v>640</v>
      </c>
      <c r="N15">
        <v>640</v>
      </c>
      <c r="O15">
        <v>640</v>
      </c>
      <c r="P15">
        <v>640</v>
      </c>
      <c r="Q15">
        <v>640</v>
      </c>
      <c r="R15">
        <v>640</v>
      </c>
      <c r="S15">
        <v>640</v>
      </c>
      <c r="T15">
        <v>640</v>
      </c>
      <c r="U15">
        <v>640</v>
      </c>
      <c r="V15">
        <v>640</v>
      </c>
      <c r="W15">
        <v>665</v>
      </c>
      <c r="AF15" cm="1">
        <f t="array" ref="AF15">LOOKUP(2,1/ISNUMBER($B$15:$AE$15),$B$15:$AE$15)</f>
        <v>665</v>
      </c>
      <c r="AG15">
        <f>AF16/A8</f>
        <v>0.22018348623853212</v>
      </c>
    </row>
    <row r="16" spans="1:33" x14ac:dyDescent="0.25">
      <c r="A16" t="s">
        <v>1</v>
      </c>
      <c r="B16">
        <f>B15-A6</f>
        <v>27</v>
      </c>
      <c r="C16">
        <f>IF(C15&lt;&gt;"",C15-B15,"")</f>
        <v>22</v>
      </c>
      <c r="D16">
        <f t="shared" ref="D16:AE16" si="9">IF(D15&lt;&gt;"",D15-C15,"")</f>
        <v>-4</v>
      </c>
      <c r="E16">
        <f t="shared" si="9"/>
        <v>-14</v>
      </c>
      <c r="F16">
        <f t="shared" si="9"/>
        <v>1</v>
      </c>
      <c r="G16">
        <f t="shared" si="9"/>
        <v>12</v>
      </c>
      <c r="H16">
        <f t="shared" si="9"/>
        <v>16</v>
      </c>
      <c r="I16">
        <f t="shared" si="9"/>
        <v>0</v>
      </c>
      <c r="J16">
        <f t="shared" si="9"/>
        <v>0</v>
      </c>
      <c r="K16">
        <f t="shared" si="9"/>
        <v>0</v>
      </c>
      <c r="L16">
        <f t="shared" si="9"/>
        <v>-10</v>
      </c>
      <c r="M16">
        <f t="shared" si="9"/>
        <v>45</v>
      </c>
      <c r="N16">
        <f t="shared" si="9"/>
        <v>0</v>
      </c>
      <c r="O16">
        <f t="shared" si="9"/>
        <v>0</v>
      </c>
      <c r="P16">
        <f t="shared" si="9"/>
        <v>0</v>
      </c>
      <c r="Q16">
        <f t="shared" si="9"/>
        <v>0</v>
      </c>
      <c r="R16">
        <f t="shared" si="9"/>
        <v>0</v>
      </c>
      <c r="S16">
        <f t="shared" si="9"/>
        <v>0</v>
      </c>
      <c r="T16">
        <f t="shared" si="9"/>
        <v>0</v>
      </c>
      <c r="U16">
        <f t="shared" si="9"/>
        <v>0</v>
      </c>
      <c r="V16">
        <f t="shared" si="9"/>
        <v>0</v>
      </c>
      <c r="W16">
        <f t="shared" si="9"/>
        <v>25</v>
      </c>
      <c r="X16" t="str">
        <f t="shared" si="9"/>
        <v/>
      </c>
      <c r="Y16" t="str">
        <f t="shared" si="9"/>
        <v/>
      </c>
      <c r="Z16" t="str">
        <f t="shared" si="9"/>
        <v/>
      </c>
      <c r="AA16" t="str">
        <f t="shared" si="9"/>
        <v/>
      </c>
      <c r="AB16" t="str">
        <f t="shared" si="9"/>
        <v/>
      </c>
      <c r="AC16" t="str">
        <f t="shared" si="9"/>
        <v/>
      </c>
      <c r="AD16" t="str">
        <f t="shared" si="9"/>
        <v/>
      </c>
      <c r="AE16" t="str">
        <f t="shared" si="9"/>
        <v/>
      </c>
      <c r="AF16" s="5">
        <f>SUM(B16:AE16)</f>
        <v>120</v>
      </c>
      <c r="AG16" t="s">
        <v>7</v>
      </c>
    </row>
    <row r="17" spans="1:34" x14ac:dyDescent="0.25">
      <c r="A17" t="s">
        <v>2</v>
      </c>
      <c r="B17">
        <f>B16-B7</f>
        <v>21.549999999999955</v>
      </c>
      <c r="C17">
        <f>IF(C16&lt;&gt;"",C16-C7,"")</f>
        <v>16.495499999999993</v>
      </c>
      <c r="D17">
        <f t="shared" ref="D17:AE17" si="10">IF(D16&lt;&gt;"",D16-D7,"")</f>
        <v>-9.5595449999999573</v>
      </c>
      <c r="E17">
        <f t="shared" si="10"/>
        <v>-19.615140450000013</v>
      </c>
      <c r="F17">
        <f t="shared" si="10"/>
        <v>-4.6712918545000548</v>
      </c>
      <c r="G17">
        <f t="shared" si="10"/>
        <v>6.2719952269550276</v>
      </c>
      <c r="H17">
        <f t="shared" si="10"/>
        <v>10.214715179224527</v>
      </c>
      <c r="I17">
        <f t="shared" si="10"/>
        <v>-5.616252414045789</v>
      </c>
      <c r="J17">
        <f t="shared" si="10"/>
        <v>0</v>
      </c>
      <c r="K17">
        <f t="shared" si="10"/>
        <v>0</v>
      </c>
      <c r="L17">
        <f t="shared" si="10"/>
        <v>-10</v>
      </c>
      <c r="M17">
        <f t="shared" si="10"/>
        <v>45</v>
      </c>
      <c r="N17">
        <f t="shared" si="10"/>
        <v>0</v>
      </c>
      <c r="O17">
        <f t="shared" si="10"/>
        <v>0</v>
      </c>
      <c r="P17">
        <f t="shared" si="10"/>
        <v>0</v>
      </c>
      <c r="Q17">
        <f t="shared" si="10"/>
        <v>0</v>
      </c>
      <c r="R17">
        <f t="shared" si="10"/>
        <v>0</v>
      </c>
      <c r="S17">
        <f t="shared" si="10"/>
        <v>0</v>
      </c>
      <c r="T17">
        <f t="shared" si="10"/>
        <v>0</v>
      </c>
      <c r="U17">
        <f t="shared" si="10"/>
        <v>0</v>
      </c>
      <c r="V17">
        <f t="shared" si="10"/>
        <v>0</v>
      </c>
      <c r="W17">
        <f t="shared" si="10"/>
        <v>25</v>
      </c>
      <c r="X17" t="str">
        <f t="shared" si="10"/>
        <v/>
      </c>
      <c r="Y17" t="str">
        <f t="shared" si="10"/>
        <v/>
      </c>
      <c r="Z17" t="str">
        <f t="shared" si="10"/>
        <v/>
      </c>
      <c r="AA17" t="str">
        <f t="shared" si="10"/>
        <v/>
      </c>
      <c r="AB17" t="str">
        <f t="shared" si="10"/>
        <v/>
      </c>
      <c r="AC17" t="str">
        <f t="shared" si="10"/>
        <v/>
      </c>
      <c r="AD17" t="str">
        <f t="shared" si="10"/>
        <v/>
      </c>
      <c r="AE17" t="str">
        <f t="shared" si="10"/>
        <v/>
      </c>
      <c r="AF17" s="5">
        <f>AF8-AF16</f>
        <v>69.5776588564338</v>
      </c>
      <c r="AG17" t="s">
        <v>3</v>
      </c>
    </row>
    <row r="18" spans="1:34" x14ac:dyDescent="0.25">
      <c r="AF18" s="4">
        <f>100-100*(AF17/AF8)</f>
        <v>63.298597906452358</v>
      </c>
      <c r="AG18" t="s">
        <v>5</v>
      </c>
    </row>
    <row r="19" spans="1:34" x14ac:dyDescent="0.25">
      <c r="AF19" s="4">
        <f>100*(AH19/30)</f>
        <v>73.333333333333329</v>
      </c>
      <c r="AG19" t="s">
        <v>6</v>
      </c>
      <c r="AH19">
        <f>30-COUNTIF(B15:AE15,"")</f>
        <v>22</v>
      </c>
    </row>
    <row r="24" spans="1:34" ht="42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B5FAE-387E-4136-87FB-966E6B002CBF}">
  <sheetPr codeName="Sayfa2"/>
  <dimension ref="A3:AJ63"/>
  <sheetViews>
    <sheetView topLeftCell="F1" zoomScale="90" zoomScaleNormal="90" workbookViewId="0">
      <selection activeCell="AF8" sqref="AF8"/>
    </sheetView>
  </sheetViews>
  <sheetFormatPr defaultColWidth="7.28515625" defaultRowHeight="15" x14ac:dyDescent="0.25"/>
  <cols>
    <col min="1" max="3" width="13.140625" bestFit="1" customWidth="1"/>
    <col min="4" max="6" width="14" bestFit="1" customWidth="1"/>
    <col min="7" max="7" width="13.140625" bestFit="1" customWidth="1"/>
    <col min="8" max="9" width="14" bestFit="1" customWidth="1"/>
    <col min="10" max="32" width="13.140625" bestFit="1" customWidth="1"/>
    <col min="33" max="33" width="27.85546875" bestFit="1" customWidth="1"/>
    <col min="34" max="34" width="13.28515625" bestFit="1" customWidth="1"/>
    <col min="35" max="35" width="10" bestFit="1" customWidth="1"/>
    <col min="36" max="36" width="18.7109375" bestFit="1" customWidth="1"/>
  </cols>
  <sheetData>
    <row r="3" spans="1:36" x14ac:dyDescent="0.25">
      <c r="A3" s="8"/>
      <c r="B3" s="8">
        <v>44863</v>
      </c>
      <c r="C3" s="8">
        <v>44864</v>
      </c>
      <c r="D3" s="8">
        <v>44865</v>
      </c>
      <c r="E3" s="8">
        <v>44866</v>
      </c>
      <c r="F3" s="8">
        <v>44867</v>
      </c>
      <c r="G3" s="8">
        <v>44868</v>
      </c>
      <c r="H3" s="8">
        <v>44869</v>
      </c>
      <c r="I3" s="8">
        <v>44870</v>
      </c>
      <c r="J3" s="8">
        <v>44871</v>
      </c>
      <c r="K3" s="8">
        <v>44872</v>
      </c>
      <c r="L3" s="8">
        <v>44873</v>
      </c>
      <c r="M3" s="8">
        <v>44874</v>
      </c>
      <c r="N3" s="8">
        <v>44875</v>
      </c>
      <c r="O3" s="8">
        <v>44876</v>
      </c>
      <c r="P3" s="8">
        <v>44877</v>
      </c>
      <c r="Q3" s="8">
        <v>44878</v>
      </c>
      <c r="R3" s="8">
        <v>44879</v>
      </c>
      <c r="S3" s="8">
        <v>44880</v>
      </c>
      <c r="T3" s="8">
        <v>44881</v>
      </c>
      <c r="U3" s="8">
        <v>44882</v>
      </c>
      <c r="V3" s="8">
        <v>44883</v>
      </c>
      <c r="W3" s="8">
        <v>44884</v>
      </c>
      <c r="X3" s="8">
        <v>44885</v>
      </c>
      <c r="Y3" s="8">
        <v>44886</v>
      </c>
      <c r="Z3" s="8">
        <v>44887</v>
      </c>
      <c r="AA3" s="8">
        <v>44888</v>
      </c>
      <c r="AB3" s="8">
        <v>44889</v>
      </c>
      <c r="AC3" s="8">
        <v>44890</v>
      </c>
      <c r="AD3" s="8">
        <v>44891</v>
      </c>
      <c r="AE3" s="8">
        <v>44892</v>
      </c>
      <c r="AF3" s="8"/>
      <c r="AG3" s="8"/>
      <c r="AH3" s="8"/>
      <c r="AI3" s="8"/>
      <c r="AJ3" s="8"/>
    </row>
    <row r="4" spans="1:36" x14ac:dyDescent="0.25">
      <c r="A4" s="8"/>
      <c r="B4" s="8"/>
      <c r="C4" s="8"/>
      <c r="D4" s="8"/>
      <c r="E4" s="8"/>
      <c r="F4" s="8"/>
      <c r="G4" s="8"/>
      <c r="H4" s="8"/>
      <c r="I4" s="8"/>
      <c r="J4" s="13">
        <v>1.0149999999999999</v>
      </c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1:36" x14ac:dyDescent="0.25">
      <c r="A5" s="8"/>
      <c r="B5" s="8">
        <v>1</v>
      </c>
      <c r="C5" s="8">
        <v>2</v>
      </c>
      <c r="D5" s="8">
        <v>3</v>
      </c>
      <c r="E5" s="8">
        <v>4</v>
      </c>
      <c r="F5" s="8">
        <v>5</v>
      </c>
      <c r="G5" s="8">
        <v>6</v>
      </c>
      <c r="H5" s="8">
        <v>7</v>
      </c>
      <c r="I5" s="8">
        <v>8</v>
      </c>
      <c r="J5" s="8">
        <v>9</v>
      </c>
      <c r="K5" s="8">
        <v>10</v>
      </c>
      <c r="L5" s="8">
        <v>11</v>
      </c>
      <c r="M5" s="8">
        <v>12</v>
      </c>
      <c r="N5" s="8">
        <v>13</v>
      </c>
      <c r="O5" s="8">
        <v>14</v>
      </c>
      <c r="P5" s="8">
        <v>15</v>
      </c>
      <c r="Q5" s="8">
        <v>16</v>
      </c>
      <c r="R5" s="8">
        <v>17</v>
      </c>
      <c r="S5" s="8">
        <v>18</v>
      </c>
      <c r="T5" s="8">
        <v>19</v>
      </c>
      <c r="U5" s="8">
        <v>20</v>
      </c>
      <c r="V5" s="8">
        <v>21</v>
      </c>
      <c r="W5" s="8">
        <v>22</v>
      </c>
      <c r="X5" s="8">
        <v>23</v>
      </c>
      <c r="Y5" s="8">
        <v>24</v>
      </c>
      <c r="Z5" s="8">
        <v>25</v>
      </c>
      <c r="AA5" s="8">
        <v>26</v>
      </c>
      <c r="AB5" s="8">
        <v>27</v>
      </c>
      <c r="AC5" s="8">
        <v>28</v>
      </c>
      <c r="AD5" s="8">
        <v>29</v>
      </c>
      <c r="AE5" s="8">
        <v>30</v>
      </c>
      <c r="AF5" s="8"/>
      <c r="AG5" s="8"/>
      <c r="AH5" s="8"/>
      <c r="AI5" s="8"/>
      <c r="AJ5" s="8"/>
    </row>
    <row r="6" spans="1:36" x14ac:dyDescent="0.25">
      <c r="A6" s="10">
        <v>1705</v>
      </c>
      <c r="B6" s="10">
        <f t="shared" ref="B6:H6" si="0">A6*$J$4</f>
        <v>1730.5749999999998</v>
      </c>
      <c r="C6" s="10">
        <f t="shared" si="0"/>
        <v>1756.5336249999996</v>
      </c>
      <c r="D6" s="10">
        <f t="shared" si="0"/>
        <v>1782.8816293749994</v>
      </c>
      <c r="E6" s="10">
        <f t="shared" si="0"/>
        <v>1809.6248538156242</v>
      </c>
      <c r="F6" s="10">
        <f t="shared" si="0"/>
        <v>1836.7692266228585</v>
      </c>
      <c r="G6" s="10">
        <f t="shared" si="0"/>
        <v>1864.3207650222012</v>
      </c>
      <c r="H6" s="10">
        <f t="shared" si="0"/>
        <v>1892.2855764975341</v>
      </c>
      <c r="I6" s="11">
        <f>H6-A6</f>
        <v>187.28557649753407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8"/>
      <c r="AH6" s="8"/>
      <c r="AI6" s="8"/>
      <c r="AJ6" s="8"/>
    </row>
    <row r="7" spans="1:36" x14ac:dyDescent="0.25">
      <c r="A7" s="10">
        <v>1705</v>
      </c>
      <c r="B7" s="10">
        <f>B6-A6</f>
        <v>25.574999999999818</v>
      </c>
      <c r="C7" s="10">
        <f t="shared" ref="C7:H7" si="1">C6-B6</f>
        <v>25.958624999999756</v>
      </c>
      <c r="D7" s="10">
        <f t="shared" si="1"/>
        <v>26.348004374999846</v>
      </c>
      <c r="E7" s="10">
        <f t="shared" si="1"/>
        <v>26.743224440624772</v>
      </c>
      <c r="F7" s="10">
        <f t="shared" si="1"/>
        <v>27.144372807234276</v>
      </c>
      <c r="G7" s="10">
        <f t="shared" si="1"/>
        <v>27.551538399342689</v>
      </c>
      <c r="H7" s="10">
        <f t="shared" si="1"/>
        <v>27.964811475332908</v>
      </c>
      <c r="I7" s="12">
        <f>AVERAGE(B7:H7)</f>
        <v>26.755082356790581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8" t="s">
        <v>8</v>
      </c>
      <c r="AH7" s="8" t="s">
        <v>10</v>
      </c>
      <c r="AI7" s="8" t="s">
        <v>11</v>
      </c>
      <c r="AJ7" s="8" t="s">
        <v>25</v>
      </c>
    </row>
    <row r="8" spans="1:36" x14ac:dyDescent="0.25">
      <c r="A8" s="10">
        <v>1705</v>
      </c>
      <c r="B8" s="10">
        <f t="shared" ref="B8:AE8" si="2">A8*$J$4</f>
        <v>1730.5749999999998</v>
      </c>
      <c r="C8" s="10">
        <f t="shared" si="2"/>
        <v>1756.5336249999996</v>
      </c>
      <c r="D8" s="10">
        <f t="shared" si="2"/>
        <v>1782.8816293749994</v>
      </c>
      <c r="E8" s="10">
        <f t="shared" si="2"/>
        <v>1809.6248538156242</v>
      </c>
      <c r="F8" s="10">
        <f t="shared" si="2"/>
        <v>1836.7692266228585</v>
      </c>
      <c r="G8" s="10">
        <f t="shared" si="2"/>
        <v>1864.3207650222012</v>
      </c>
      <c r="H8" s="10">
        <f t="shared" si="2"/>
        <v>1892.2855764975341</v>
      </c>
      <c r="I8" s="10">
        <f t="shared" si="2"/>
        <v>1920.6698601449968</v>
      </c>
      <c r="J8" s="10">
        <f t="shared" si="2"/>
        <v>1949.4799080471716</v>
      </c>
      <c r="K8" s="10">
        <f t="shared" si="2"/>
        <v>1978.722106667879</v>
      </c>
      <c r="L8" s="10">
        <f t="shared" si="2"/>
        <v>2008.4029382678968</v>
      </c>
      <c r="M8" s="10">
        <f t="shared" si="2"/>
        <v>2038.528982341915</v>
      </c>
      <c r="N8" s="10">
        <f t="shared" si="2"/>
        <v>2069.1069170770434</v>
      </c>
      <c r="O8" s="10">
        <f t="shared" si="2"/>
        <v>2100.1435208331986</v>
      </c>
      <c r="P8" s="10">
        <f t="shared" si="2"/>
        <v>2131.6456736456962</v>
      </c>
      <c r="Q8" s="10">
        <f t="shared" si="2"/>
        <v>2163.6203587503815</v>
      </c>
      <c r="R8" s="10">
        <f t="shared" si="2"/>
        <v>2196.0746641316368</v>
      </c>
      <c r="S8" s="10">
        <f t="shared" si="2"/>
        <v>2229.0157840936113</v>
      </c>
      <c r="T8" s="10">
        <f t="shared" si="2"/>
        <v>2262.451020855015</v>
      </c>
      <c r="U8" s="10">
        <f t="shared" si="2"/>
        <v>2296.3877861678402</v>
      </c>
      <c r="V8" s="10">
        <f t="shared" si="2"/>
        <v>2330.8336029603574</v>
      </c>
      <c r="W8" s="10">
        <f t="shared" si="2"/>
        <v>2365.7961070047627</v>
      </c>
      <c r="X8" s="10">
        <f t="shared" si="2"/>
        <v>2401.2830486098337</v>
      </c>
      <c r="Y8" s="10">
        <f t="shared" si="2"/>
        <v>2437.302294338981</v>
      </c>
      <c r="Z8" s="10">
        <f t="shared" si="2"/>
        <v>2473.8618287540653</v>
      </c>
      <c r="AA8" s="10">
        <f t="shared" si="2"/>
        <v>2510.9697561853759</v>
      </c>
      <c r="AB8" s="10">
        <f t="shared" si="2"/>
        <v>2548.6343025281562</v>
      </c>
      <c r="AC8" s="10">
        <f t="shared" si="2"/>
        <v>2586.8638170660784</v>
      </c>
      <c r="AD8" s="10">
        <f t="shared" si="2"/>
        <v>2625.6667743220692</v>
      </c>
      <c r="AE8" s="10">
        <f t="shared" si="2"/>
        <v>2665.0517759369</v>
      </c>
      <c r="AF8" s="11">
        <f>AE8-A8</f>
        <v>960.05177593689996</v>
      </c>
      <c r="AG8" s="14">
        <f>AF8/A8</f>
        <v>0.56308022049085038</v>
      </c>
      <c r="AH8" s="8">
        <f>18.62*AF8</f>
        <v>17876.164067945079</v>
      </c>
      <c r="AI8" s="8" t="s">
        <v>12</v>
      </c>
      <c r="AJ8" s="8">
        <f>18.6*AE8</f>
        <v>49569.963032426342</v>
      </c>
    </row>
    <row r="9" spans="1:36" x14ac:dyDescent="0.25">
      <c r="A9" s="10"/>
      <c r="B9" s="10">
        <f>B8-A8</f>
        <v>25.574999999999818</v>
      </c>
      <c r="C9" s="10">
        <f t="shared" ref="C9:AE9" si="3">C8-B8</f>
        <v>25.958624999999756</v>
      </c>
      <c r="D9" s="10">
        <f t="shared" si="3"/>
        <v>26.348004374999846</v>
      </c>
      <c r="E9" s="10">
        <f t="shared" si="3"/>
        <v>26.743224440624772</v>
      </c>
      <c r="F9" s="10">
        <f t="shared" si="3"/>
        <v>27.144372807234276</v>
      </c>
      <c r="G9" s="10">
        <f t="shared" si="3"/>
        <v>27.551538399342689</v>
      </c>
      <c r="H9" s="10">
        <f t="shared" si="3"/>
        <v>27.964811475332908</v>
      </c>
      <c r="I9" s="10">
        <f t="shared" si="3"/>
        <v>28.38428364746278</v>
      </c>
      <c r="J9" s="10">
        <f t="shared" si="3"/>
        <v>28.810047902174801</v>
      </c>
      <c r="K9" s="10">
        <f t="shared" si="3"/>
        <v>29.242198620707313</v>
      </c>
      <c r="L9" s="10">
        <f t="shared" si="3"/>
        <v>29.680831600017882</v>
      </c>
      <c r="M9" s="10">
        <f t="shared" si="3"/>
        <v>30.126044074018182</v>
      </c>
      <c r="N9" s="10">
        <f t="shared" si="3"/>
        <v>30.577934735128338</v>
      </c>
      <c r="O9" s="10">
        <f t="shared" si="3"/>
        <v>31.036603756155273</v>
      </c>
      <c r="P9" s="10">
        <f t="shared" si="3"/>
        <v>31.50215281249757</v>
      </c>
      <c r="Q9" s="10">
        <f t="shared" si="3"/>
        <v>31.97468510468525</v>
      </c>
      <c r="R9" s="10">
        <f t="shared" si="3"/>
        <v>32.454305381255381</v>
      </c>
      <c r="S9" s="10">
        <f t="shared" si="3"/>
        <v>32.941119961974437</v>
      </c>
      <c r="T9" s="10">
        <f t="shared" si="3"/>
        <v>33.435236761403758</v>
      </c>
      <c r="U9" s="10">
        <f t="shared" si="3"/>
        <v>33.936765312825173</v>
      </c>
      <c r="V9" s="10">
        <f t="shared" si="3"/>
        <v>34.445816792517235</v>
      </c>
      <c r="W9" s="10">
        <f t="shared" si="3"/>
        <v>34.96250404440525</v>
      </c>
      <c r="X9" s="10">
        <f t="shared" si="3"/>
        <v>35.486941605071024</v>
      </c>
      <c r="Y9" s="10">
        <f t="shared" si="3"/>
        <v>36.019245729147315</v>
      </c>
      <c r="Z9" s="10">
        <f t="shared" si="3"/>
        <v>36.559534415084272</v>
      </c>
      <c r="AA9" s="10">
        <f t="shared" si="3"/>
        <v>37.1079274313106</v>
      </c>
      <c r="AB9" s="10">
        <f t="shared" si="3"/>
        <v>37.664546342780341</v>
      </c>
      <c r="AC9" s="10">
        <f t="shared" si="3"/>
        <v>38.229514537922114</v>
      </c>
      <c r="AD9" s="10">
        <f t="shared" si="3"/>
        <v>38.802957255990805</v>
      </c>
      <c r="AE9" s="10">
        <f t="shared" si="3"/>
        <v>39.385001614830799</v>
      </c>
      <c r="AF9" s="12">
        <f>AVERAGE(B9:AE9)</f>
        <v>32.001725864563333</v>
      </c>
      <c r="AG9" s="9"/>
      <c r="AH9" s="8">
        <f t="shared" ref="AH9:AH15" si="4">18.62*AF9</f>
        <v>595.87213559816928</v>
      </c>
      <c r="AI9" s="8"/>
      <c r="AJ9" s="8"/>
    </row>
    <row r="10" spans="1:36" x14ac:dyDescent="0.25">
      <c r="A10" s="10">
        <f>AE8</f>
        <v>2665.0517759369</v>
      </c>
      <c r="B10" s="10">
        <f>A10*$J$4</f>
        <v>2705.027552575953</v>
      </c>
      <c r="C10" s="10">
        <f t="shared" ref="C10:AE10" si="5">B10*$J$4</f>
        <v>2745.6029658645921</v>
      </c>
      <c r="D10" s="10">
        <f t="shared" si="5"/>
        <v>2786.7870103525606</v>
      </c>
      <c r="E10" s="10">
        <f t="shared" si="5"/>
        <v>2828.5888155078487</v>
      </c>
      <c r="F10" s="10">
        <f t="shared" si="5"/>
        <v>2871.0176477404661</v>
      </c>
      <c r="G10" s="10">
        <f t="shared" si="5"/>
        <v>2914.082912456573</v>
      </c>
      <c r="H10" s="10">
        <f t="shared" si="5"/>
        <v>2957.7941561434213</v>
      </c>
      <c r="I10" s="10">
        <f t="shared" si="5"/>
        <v>3002.1610684855723</v>
      </c>
      <c r="J10" s="10">
        <f t="shared" si="5"/>
        <v>3047.1934845128558</v>
      </c>
      <c r="K10" s="10">
        <f t="shared" si="5"/>
        <v>3092.9013867805484</v>
      </c>
      <c r="L10" s="10">
        <f t="shared" si="5"/>
        <v>3139.2949075822562</v>
      </c>
      <c r="M10" s="10">
        <f t="shared" si="5"/>
        <v>3186.3843311959899</v>
      </c>
      <c r="N10" s="10">
        <f t="shared" si="5"/>
        <v>3234.1800961639296</v>
      </c>
      <c r="O10" s="10">
        <f t="shared" si="5"/>
        <v>3282.6927976063885</v>
      </c>
      <c r="P10" s="10">
        <f t="shared" si="5"/>
        <v>3331.933189570484</v>
      </c>
      <c r="Q10" s="10">
        <f t="shared" si="5"/>
        <v>3381.912187414041</v>
      </c>
      <c r="R10" s="10">
        <f t="shared" si="5"/>
        <v>3432.6408702252511</v>
      </c>
      <c r="S10" s="10">
        <f t="shared" si="5"/>
        <v>3484.1304832786295</v>
      </c>
      <c r="T10" s="10">
        <f t="shared" si="5"/>
        <v>3536.3924405278085</v>
      </c>
      <c r="U10" s="10">
        <f t="shared" si="5"/>
        <v>3589.4383271357251</v>
      </c>
      <c r="V10" s="10">
        <f t="shared" si="5"/>
        <v>3643.2799020427606</v>
      </c>
      <c r="W10" s="10">
        <f t="shared" si="5"/>
        <v>3697.9291005734017</v>
      </c>
      <c r="X10" s="10">
        <f t="shared" si="5"/>
        <v>3753.3980370820022</v>
      </c>
      <c r="Y10" s="10">
        <f t="shared" si="5"/>
        <v>3809.6990076382317</v>
      </c>
      <c r="Z10" s="10">
        <f t="shared" si="5"/>
        <v>3866.8444927528049</v>
      </c>
      <c r="AA10" s="10">
        <f t="shared" si="5"/>
        <v>3924.8471601440965</v>
      </c>
      <c r="AB10" s="10">
        <f t="shared" si="5"/>
        <v>3983.7198675462578</v>
      </c>
      <c r="AC10" s="10">
        <f t="shared" si="5"/>
        <v>4043.475665559451</v>
      </c>
      <c r="AD10" s="10">
        <f t="shared" si="5"/>
        <v>4104.1278005428421</v>
      </c>
      <c r="AE10" s="10">
        <f t="shared" si="5"/>
        <v>4165.6897175509839</v>
      </c>
      <c r="AF10" s="11">
        <f t="shared" ref="AF10" si="6">AE10-A10</f>
        <v>1500.637941614084</v>
      </c>
      <c r="AG10" s="9"/>
      <c r="AH10" s="8">
        <f t="shared" si="4"/>
        <v>27941.878472854245</v>
      </c>
      <c r="AI10" s="8" t="s">
        <v>13</v>
      </c>
      <c r="AJ10" s="8">
        <f t="shared" ref="AJ10" si="7">18.6*AE10</f>
        <v>77481.8287464483</v>
      </c>
    </row>
    <row r="11" spans="1:36" x14ac:dyDescent="0.25">
      <c r="A11" s="10"/>
      <c r="B11" s="10">
        <f>B10-A10</f>
        <v>39.975776639053038</v>
      </c>
      <c r="C11" s="10">
        <f t="shared" ref="C11:AE11" si="8">C10-B10</f>
        <v>40.575413288639083</v>
      </c>
      <c r="D11" s="10">
        <f t="shared" si="8"/>
        <v>41.184044487968549</v>
      </c>
      <c r="E11" s="10">
        <f t="shared" si="8"/>
        <v>41.801805155288093</v>
      </c>
      <c r="F11" s="10">
        <f t="shared" si="8"/>
        <v>42.428832232617424</v>
      </c>
      <c r="G11" s="10">
        <f t="shared" si="8"/>
        <v>43.065264716106867</v>
      </c>
      <c r="H11" s="10">
        <f t="shared" si="8"/>
        <v>43.71124368684832</v>
      </c>
      <c r="I11" s="10">
        <f t="shared" si="8"/>
        <v>44.366912342150954</v>
      </c>
      <c r="J11" s="10">
        <f t="shared" si="8"/>
        <v>45.032416027283489</v>
      </c>
      <c r="K11" s="10">
        <f t="shared" si="8"/>
        <v>45.707902267692589</v>
      </c>
      <c r="L11" s="10">
        <f t="shared" si="8"/>
        <v>46.393520801707837</v>
      </c>
      <c r="M11" s="10">
        <f t="shared" si="8"/>
        <v>47.089423613733743</v>
      </c>
      <c r="N11" s="10">
        <f t="shared" si="8"/>
        <v>47.795764967939704</v>
      </c>
      <c r="O11" s="10">
        <f t="shared" si="8"/>
        <v>48.51270144245882</v>
      </c>
      <c r="P11" s="10">
        <f t="shared" si="8"/>
        <v>49.240391964095579</v>
      </c>
      <c r="Q11" s="10">
        <f t="shared" si="8"/>
        <v>49.978997843556954</v>
      </c>
      <c r="R11" s="10">
        <f t="shared" si="8"/>
        <v>50.728682811210092</v>
      </c>
      <c r="S11" s="10">
        <f t="shared" si="8"/>
        <v>51.489613053378434</v>
      </c>
      <c r="T11" s="10">
        <f t="shared" si="8"/>
        <v>52.261957249178977</v>
      </c>
      <c r="U11" s="10">
        <f t="shared" si="8"/>
        <v>53.0458866079166</v>
      </c>
      <c r="V11" s="10">
        <f t="shared" si="8"/>
        <v>53.841574907035465</v>
      </c>
      <c r="W11" s="10">
        <f t="shared" si="8"/>
        <v>54.649198530641115</v>
      </c>
      <c r="X11" s="10">
        <f t="shared" si="8"/>
        <v>55.468936508600564</v>
      </c>
      <c r="Y11" s="10">
        <f t="shared" si="8"/>
        <v>56.300970556229458</v>
      </c>
      <c r="Z11" s="10">
        <f t="shared" si="8"/>
        <v>57.145485114573148</v>
      </c>
      <c r="AA11" s="10">
        <f t="shared" si="8"/>
        <v>58.002667391291652</v>
      </c>
      <c r="AB11" s="10">
        <f t="shared" si="8"/>
        <v>58.872707402161268</v>
      </c>
      <c r="AC11" s="10">
        <f t="shared" si="8"/>
        <v>59.755798013193271</v>
      </c>
      <c r="AD11" s="10">
        <f t="shared" si="8"/>
        <v>60.652134983391079</v>
      </c>
      <c r="AE11" s="10">
        <f t="shared" si="8"/>
        <v>61.561917008141791</v>
      </c>
      <c r="AF11" s="12">
        <f t="shared" ref="AF11" si="9">AVERAGE(B11:AE11)</f>
        <v>50.021264720469468</v>
      </c>
      <c r="AG11" s="9"/>
      <c r="AH11" s="8">
        <f t="shared" si="4"/>
        <v>931.39594909514153</v>
      </c>
      <c r="AI11" s="8"/>
      <c r="AJ11" s="8"/>
    </row>
    <row r="12" spans="1:36" x14ac:dyDescent="0.25">
      <c r="A12" s="10">
        <f>AE10</f>
        <v>4165.6897175509839</v>
      </c>
      <c r="B12" s="10">
        <f>A12*$J$4</f>
        <v>4228.1750633142483</v>
      </c>
      <c r="C12" s="10">
        <f t="shared" ref="C12" si="10">B12*$J$4</f>
        <v>4291.5976892639619</v>
      </c>
      <c r="D12" s="10">
        <f t="shared" ref="D12" si="11">C12*$J$4</f>
        <v>4355.9716546029213</v>
      </c>
      <c r="E12" s="10">
        <f t="shared" ref="E12" si="12">D12*$J$4</f>
        <v>4421.3112294219645</v>
      </c>
      <c r="F12" s="10">
        <f t="shared" ref="F12" si="13">E12*$J$4</f>
        <v>4487.6308978632933</v>
      </c>
      <c r="G12" s="10">
        <f t="shared" ref="G12" si="14">F12*$J$4</f>
        <v>4554.9453613312426</v>
      </c>
      <c r="H12" s="10">
        <f t="shared" ref="H12" si="15">G12*$J$4</f>
        <v>4623.2695417512105</v>
      </c>
      <c r="I12" s="10">
        <f t="shared" ref="I12" si="16">H12*$J$4</f>
        <v>4692.6185848774785</v>
      </c>
      <c r="J12" s="10">
        <f t="shared" ref="J12" si="17">I12*$J$4</f>
        <v>4763.0078636506405</v>
      </c>
      <c r="K12" s="10">
        <f t="shared" ref="K12" si="18">J12*$J$4</f>
        <v>4834.4529816054001</v>
      </c>
      <c r="L12" s="10">
        <f t="shared" ref="L12" si="19">K12*$J$4</f>
        <v>4906.9697763294807</v>
      </c>
      <c r="M12" s="10">
        <f t="shared" ref="M12" si="20">L12*$J$4</f>
        <v>4980.5743229744221</v>
      </c>
      <c r="N12" s="10">
        <f t="shared" ref="N12" si="21">M12*$J$4</f>
        <v>5055.2829378190381</v>
      </c>
      <c r="O12" s="10">
        <f t="shared" ref="O12" si="22">N12*$J$4</f>
        <v>5131.112181886323</v>
      </c>
      <c r="P12" s="10">
        <f t="shared" ref="P12" si="23">O12*$J$4</f>
        <v>5208.0788646146175</v>
      </c>
      <c r="Q12" s="10">
        <f t="shared" ref="Q12" si="24">P12*$J$4</f>
        <v>5286.2000475838358</v>
      </c>
      <c r="R12" s="10">
        <f t="shared" ref="R12" si="25">Q12*$J$4</f>
        <v>5365.4930482975933</v>
      </c>
      <c r="S12" s="10">
        <f t="shared" ref="S12" si="26">R12*$J$4</f>
        <v>5445.9754440220568</v>
      </c>
      <c r="T12" s="10">
        <f t="shared" ref="T12" si="27">S12*$J$4</f>
        <v>5527.6650756823874</v>
      </c>
      <c r="U12" s="10">
        <f t="shared" ref="U12" si="28">T12*$J$4</f>
        <v>5610.5800518176229</v>
      </c>
      <c r="V12" s="10">
        <f t="shared" ref="V12" si="29">U12*$J$4</f>
        <v>5694.738752594887</v>
      </c>
      <c r="W12" s="10">
        <f t="shared" ref="W12" si="30">V12*$J$4</f>
        <v>5780.1598338838094</v>
      </c>
      <c r="X12" s="10">
        <f t="shared" ref="X12" si="31">W12*$J$4</f>
        <v>5866.862231392066</v>
      </c>
      <c r="Y12" s="10">
        <f t="shared" ref="Y12" si="32">X12*$J$4</f>
        <v>5954.8651648629466</v>
      </c>
      <c r="Z12" s="10">
        <f t="shared" ref="Z12" si="33">Y12*$J$4</f>
        <v>6044.18814233589</v>
      </c>
      <c r="AA12" s="10">
        <f t="shared" ref="AA12" si="34">Z12*$J$4</f>
        <v>6134.8509644709275</v>
      </c>
      <c r="AB12" s="10">
        <f t="shared" ref="AB12" si="35">AA12*$J$4</f>
        <v>6226.8737289379906</v>
      </c>
      <c r="AC12" s="10">
        <f t="shared" ref="AC12" si="36">AB12*$J$4</f>
        <v>6320.2768348720601</v>
      </c>
      <c r="AD12" s="10">
        <f t="shared" ref="AD12" si="37">AC12*$J$4</f>
        <v>6415.0809873951403</v>
      </c>
      <c r="AE12" s="10">
        <f t="shared" ref="AE12" si="38">AD12*$J$4</f>
        <v>6511.3072022060669</v>
      </c>
      <c r="AF12" s="11">
        <f t="shared" ref="AF12" si="39">AE12-A12</f>
        <v>2345.617484655083</v>
      </c>
      <c r="AG12" s="9"/>
      <c r="AH12" s="8">
        <f>18.62*AF12</f>
        <v>43675.39756427765</v>
      </c>
      <c r="AI12" s="8" t="s">
        <v>14</v>
      </c>
      <c r="AJ12" s="8">
        <f t="shared" ref="AJ12" si="40">18.6*AE12</f>
        <v>121110.31396103285</v>
      </c>
    </row>
    <row r="13" spans="1:36" x14ac:dyDescent="0.25">
      <c r="A13" s="10"/>
      <c r="B13" s="10">
        <f>B12-A12</f>
        <v>62.485345763264377</v>
      </c>
      <c r="C13" s="10">
        <f t="shared" ref="C13" si="41">C12-B12</f>
        <v>63.42262594971362</v>
      </c>
      <c r="D13" s="10">
        <f t="shared" ref="D13" si="42">D12-C12</f>
        <v>64.373965338959351</v>
      </c>
      <c r="E13" s="10">
        <f t="shared" ref="E13" si="43">E12-D12</f>
        <v>65.339574819043264</v>
      </c>
      <c r="F13" s="10">
        <f t="shared" ref="F13" si="44">F12-E12</f>
        <v>66.319668441328758</v>
      </c>
      <c r="G13" s="10">
        <f t="shared" ref="G13" si="45">G12-F12</f>
        <v>67.314463467949281</v>
      </c>
      <c r="H13" s="10">
        <f t="shared" ref="H13" si="46">H12-G12</f>
        <v>68.324180419967888</v>
      </c>
      <c r="I13" s="10">
        <f t="shared" ref="I13" si="47">I12-H12</f>
        <v>69.349043126268043</v>
      </c>
      <c r="J13" s="10">
        <f t="shared" ref="J13" si="48">J12-I12</f>
        <v>70.389278773162005</v>
      </c>
      <c r="K13" s="10">
        <f t="shared" ref="K13" si="49">K12-J12</f>
        <v>71.445117954759553</v>
      </c>
      <c r="L13" s="10">
        <f t="shared" ref="L13" si="50">L12-K12</f>
        <v>72.516794724080682</v>
      </c>
      <c r="M13" s="10">
        <f t="shared" ref="M13" si="51">M12-L12</f>
        <v>73.604546644941365</v>
      </c>
      <c r="N13" s="10">
        <f t="shared" ref="N13" si="52">N12-M12</f>
        <v>74.708614844616022</v>
      </c>
      <c r="O13" s="10">
        <f t="shared" ref="O13" si="53">O12-N12</f>
        <v>75.82924406728489</v>
      </c>
      <c r="P13" s="10">
        <f t="shared" ref="P13" si="54">P12-O12</f>
        <v>76.966682728294472</v>
      </c>
      <c r="Q13" s="10">
        <f t="shared" ref="Q13" si="55">Q12-P12</f>
        <v>78.121182969218353</v>
      </c>
      <c r="R13" s="10">
        <f t="shared" ref="R13" si="56">R12-Q12</f>
        <v>79.293000713757465</v>
      </c>
      <c r="S13" s="10">
        <f t="shared" ref="S13" si="57">S12-R12</f>
        <v>80.482395724463458</v>
      </c>
      <c r="T13" s="10">
        <f t="shared" ref="T13" si="58">T12-S12</f>
        <v>81.689631660330633</v>
      </c>
      <c r="U13" s="10">
        <f t="shared" ref="U13" si="59">U12-T12</f>
        <v>82.91497613523552</v>
      </c>
      <c r="V13" s="10">
        <f t="shared" ref="V13" si="60">V12-U12</f>
        <v>84.15870077726413</v>
      </c>
      <c r="W13" s="10">
        <f t="shared" ref="W13" si="61">W12-V12</f>
        <v>85.421081288922323</v>
      </c>
      <c r="X13" s="10">
        <f t="shared" ref="X13" si="62">X12-W12</f>
        <v>86.702397508256581</v>
      </c>
      <c r="Y13" s="10">
        <f t="shared" ref="Y13" si="63">Y12-X12</f>
        <v>88.002933470880635</v>
      </c>
      <c r="Z13" s="10">
        <f t="shared" ref="Z13" si="64">Z12-Y12</f>
        <v>89.322977472943421</v>
      </c>
      <c r="AA13" s="10">
        <f t="shared" ref="AA13" si="65">AA12-Z12</f>
        <v>90.662822135037459</v>
      </c>
      <c r="AB13" s="10">
        <f t="shared" ref="AB13" si="66">AB12-AA12</f>
        <v>92.022764467063098</v>
      </c>
      <c r="AC13" s="10">
        <f t="shared" ref="AC13" si="67">AC12-AB12</f>
        <v>93.403105934069572</v>
      </c>
      <c r="AD13" s="10">
        <f t="shared" ref="AD13" si="68">AD12-AC12</f>
        <v>94.80415252308012</v>
      </c>
      <c r="AE13" s="10">
        <f t="shared" ref="AE13" si="69">AE12-AD12</f>
        <v>96.226214810926649</v>
      </c>
      <c r="AF13" s="12">
        <f t="shared" ref="AF13" si="70">AVERAGE(B13:AE13)</f>
        <v>78.187249488502772</v>
      </c>
      <c r="AG13" s="9"/>
      <c r="AH13" s="8">
        <f t="shared" si="4"/>
        <v>1455.8465854759218</v>
      </c>
      <c r="AI13" s="8"/>
      <c r="AJ13" s="8"/>
    </row>
    <row r="14" spans="1:36" x14ac:dyDescent="0.25">
      <c r="A14" s="10">
        <f>AE12</f>
        <v>6511.3072022060669</v>
      </c>
      <c r="B14" s="10">
        <f>A14*$J$4</f>
        <v>6608.9768102391572</v>
      </c>
      <c r="C14" s="10">
        <f t="shared" ref="C14" si="71">B14*$J$4</f>
        <v>6708.1114623927442</v>
      </c>
      <c r="D14" s="10">
        <f t="shared" ref="D14" si="72">C14*$J$4</f>
        <v>6808.7331343286351</v>
      </c>
      <c r="E14" s="10">
        <f t="shared" ref="E14" si="73">D14*$J$4</f>
        <v>6910.8641313435637</v>
      </c>
      <c r="F14" s="10">
        <f t="shared" ref="F14" si="74">E14*$J$4</f>
        <v>7014.5270933137163</v>
      </c>
      <c r="G14" s="10">
        <f t="shared" ref="G14" si="75">F14*$J$4</f>
        <v>7119.7449997134217</v>
      </c>
      <c r="H14" s="10">
        <f t="shared" ref="H14" si="76">G14*$J$4</f>
        <v>7226.5411747091221</v>
      </c>
      <c r="I14" s="10">
        <f t="shared" ref="I14" si="77">H14*$J$4</f>
        <v>7334.9392923297582</v>
      </c>
      <c r="J14" s="10">
        <f t="shared" ref="J14" si="78">I14*$J$4</f>
        <v>7444.9633817147042</v>
      </c>
      <c r="K14" s="10">
        <f t="shared" ref="K14" si="79">J14*$J$4</f>
        <v>7556.6378324404241</v>
      </c>
      <c r="L14" s="10">
        <f t="shared" ref="L14" si="80">K14*$J$4</f>
        <v>7669.9873999270294</v>
      </c>
      <c r="M14" s="10">
        <f t="shared" ref="M14" si="81">L14*$J$4</f>
        <v>7785.0372109259342</v>
      </c>
      <c r="N14" s="10">
        <f t="shared" ref="N14" si="82">M14*$J$4</f>
        <v>7901.8127690898227</v>
      </c>
      <c r="O14" s="10">
        <f t="shared" ref="O14" si="83">N14*$J$4</f>
        <v>8020.3399606261692</v>
      </c>
      <c r="P14" s="10">
        <f t="shared" ref="P14" si="84">O14*$J$4</f>
        <v>8140.6450600355611</v>
      </c>
      <c r="Q14" s="10">
        <f t="shared" ref="Q14" si="85">P14*$J$4</f>
        <v>8262.7547359360942</v>
      </c>
      <c r="R14" s="10">
        <f t="shared" ref="R14" si="86">Q14*$J$4</f>
        <v>8386.6960569751354</v>
      </c>
      <c r="S14" s="10">
        <f t="shared" ref="S14" si="87">R14*$J$4</f>
        <v>8512.4964978297612</v>
      </c>
      <c r="T14" s="10">
        <f t="shared" ref="T14" si="88">S14*$J$4</f>
        <v>8640.1839452972072</v>
      </c>
      <c r="U14" s="10">
        <f t="shared" ref="U14" si="89">T14*$J$4</f>
        <v>8769.7867044766645</v>
      </c>
      <c r="V14" s="10">
        <f t="shared" ref="V14" si="90">U14*$J$4</f>
        <v>8901.3335050438127</v>
      </c>
      <c r="W14" s="10">
        <f t="shared" ref="W14" si="91">V14*$J$4</f>
        <v>9034.8535076194694</v>
      </c>
      <c r="X14" s="10">
        <f t="shared" ref="X14" si="92">W14*$J$4</f>
        <v>9170.3763102337598</v>
      </c>
      <c r="Y14" s="10">
        <f t="shared" ref="Y14" si="93">X14*$J$4</f>
        <v>9307.9319548872645</v>
      </c>
      <c r="Z14" s="10">
        <f t="shared" ref="Z14" si="94">Y14*$J$4</f>
        <v>9447.5509342105724</v>
      </c>
      <c r="AA14" s="10">
        <f t="shared" ref="AA14" si="95">Z14*$J$4</f>
        <v>9589.264198223731</v>
      </c>
      <c r="AB14" s="10">
        <f t="shared" ref="AB14" si="96">AA14*$J$4</f>
        <v>9733.1031611970866</v>
      </c>
      <c r="AC14" s="10">
        <f t="shared" ref="AC14" si="97">AB14*$J$4</f>
        <v>9879.0997086150419</v>
      </c>
      <c r="AD14" s="10">
        <f t="shared" ref="AD14" si="98">AC14*$J$4</f>
        <v>10027.286204244267</v>
      </c>
      <c r="AE14" s="10">
        <f t="shared" ref="AE14" si="99">AD14*$J$4</f>
        <v>10177.69549730793</v>
      </c>
      <c r="AF14" s="11">
        <f t="shared" ref="AF14" si="100">AE14-A14</f>
        <v>3666.3882951018632</v>
      </c>
      <c r="AG14" s="9"/>
      <c r="AH14" s="8">
        <f t="shared" si="4"/>
        <v>68268.150054796701</v>
      </c>
      <c r="AI14" s="8" t="s">
        <v>15</v>
      </c>
      <c r="AJ14" s="8">
        <f t="shared" ref="AJ14" si="101">18.6*AE14</f>
        <v>189305.13624992751</v>
      </c>
    </row>
    <row r="15" spans="1:36" x14ac:dyDescent="0.25">
      <c r="A15" s="10"/>
      <c r="B15" s="10">
        <f>B14-A14</f>
        <v>97.669608033090299</v>
      </c>
      <c r="C15" s="10">
        <f t="shared" ref="C15" si="102">C14-B14</f>
        <v>99.134652153587012</v>
      </c>
      <c r="D15" s="10">
        <f t="shared" ref="D15" si="103">D14-C14</f>
        <v>100.62167193589084</v>
      </c>
      <c r="E15" s="10">
        <f t="shared" ref="E15" si="104">E14-D14</f>
        <v>102.13099701492865</v>
      </c>
      <c r="F15" s="10">
        <f t="shared" ref="F15" si="105">F14-E14</f>
        <v>103.66296197015254</v>
      </c>
      <c r="G15" s="10">
        <f t="shared" ref="G15" si="106">G14-F14</f>
        <v>105.2179063997055</v>
      </c>
      <c r="H15" s="10">
        <f t="shared" ref="H15" si="107">H14-G14</f>
        <v>106.79617499570031</v>
      </c>
      <c r="I15" s="10">
        <f t="shared" ref="I15" si="108">I14-H14</f>
        <v>108.39811762063619</v>
      </c>
      <c r="J15" s="10">
        <f t="shared" ref="J15" si="109">J14-I14</f>
        <v>110.02408938494591</v>
      </c>
      <c r="K15" s="10">
        <f t="shared" ref="K15" si="110">K14-J14</f>
        <v>111.67445072571991</v>
      </c>
      <c r="L15" s="10">
        <f t="shared" ref="L15" si="111">L14-K14</f>
        <v>113.34956748660534</v>
      </c>
      <c r="M15" s="10">
        <f t="shared" ref="M15" si="112">M14-L14</f>
        <v>115.04981099890483</v>
      </c>
      <c r="N15" s="10">
        <f t="shared" ref="N15" si="113">N14-M14</f>
        <v>116.77555816388849</v>
      </c>
      <c r="O15" s="10">
        <f t="shared" ref="O15" si="114">O14-N14</f>
        <v>118.52719153634644</v>
      </c>
      <c r="P15" s="10">
        <f t="shared" ref="P15" si="115">P14-O14</f>
        <v>120.30509940939191</v>
      </c>
      <c r="Q15" s="10">
        <f t="shared" ref="Q15" si="116">Q14-P14</f>
        <v>122.10967590053315</v>
      </c>
      <c r="R15" s="10">
        <f t="shared" ref="R15" si="117">R14-Q14</f>
        <v>123.94132103904121</v>
      </c>
      <c r="S15" s="10">
        <f t="shared" ref="S15" si="118">S14-R14</f>
        <v>125.80044085462578</v>
      </c>
      <c r="T15" s="10">
        <f t="shared" ref="T15" si="119">T14-S14</f>
        <v>127.68744746744596</v>
      </c>
      <c r="U15" s="10">
        <f t="shared" ref="U15" si="120">U14-T14</f>
        <v>129.60275917945728</v>
      </c>
      <c r="V15" s="10">
        <f t="shared" ref="V15" si="121">V14-U14</f>
        <v>131.54680056714824</v>
      </c>
      <c r="W15" s="10">
        <f t="shared" ref="W15" si="122">W14-V14</f>
        <v>133.52000257565669</v>
      </c>
      <c r="X15" s="10">
        <f t="shared" ref="X15" si="123">X14-W14</f>
        <v>135.52280261429041</v>
      </c>
      <c r="Y15" s="10">
        <f t="shared" ref="Y15" si="124">Y14-X14</f>
        <v>137.55564465350471</v>
      </c>
      <c r="Z15" s="10">
        <f t="shared" ref="Z15" si="125">Z14-Y14</f>
        <v>139.61897932330794</v>
      </c>
      <c r="AA15" s="10">
        <f t="shared" ref="AA15" si="126">AA14-Z14</f>
        <v>141.71326401315855</v>
      </c>
      <c r="AB15" s="10">
        <f t="shared" ref="AB15" si="127">AB14-AA14</f>
        <v>143.83896297335559</v>
      </c>
      <c r="AC15" s="10">
        <f t="shared" ref="AC15" si="128">AC14-AB14</f>
        <v>145.9965474179553</v>
      </c>
      <c r="AD15" s="10">
        <f t="shared" ref="AD15" si="129">AD14-AC14</f>
        <v>148.18649562922474</v>
      </c>
      <c r="AE15" s="10">
        <f t="shared" ref="AE15" si="130">AE14-AD14</f>
        <v>150.40929306366343</v>
      </c>
      <c r="AF15" s="12">
        <f t="shared" ref="AF15" si="131">AVERAGE(B15:AE15)</f>
        <v>122.2129431700621</v>
      </c>
      <c r="AG15" s="9"/>
      <c r="AH15" s="8">
        <f t="shared" si="4"/>
        <v>2275.6050018265564</v>
      </c>
      <c r="AI15" s="8"/>
      <c r="AJ15" s="8"/>
    </row>
    <row r="16" spans="1:36" x14ac:dyDescent="0.25">
      <c r="A16" s="10">
        <f t="shared" ref="A16" si="132">AE14</f>
        <v>10177.69549730793</v>
      </c>
      <c r="B16" s="10">
        <f t="shared" ref="B16" si="133">A16*$J$4</f>
        <v>10330.360929767548</v>
      </c>
      <c r="C16" s="10">
        <f t="shared" ref="C16" si="134">B16*$J$4</f>
        <v>10485.316343714061</v>
      </c>
      <c r="D16" s="10">
        <f t="shared" ref="D16" si="135">C16*$J$4</f>
        <v>10642.596088869772</v>
      </c>
      <c r="E16" s="10">
        <f t="shared" ref="E16" si="136">D16*$J$4</f>
        <v>10802.235030202817</v>
      </c>
      <c r="F16" s="10">
        <f t="shared" ref="F16" si="137">E16*$J$4</f>
        <v>10964.268555655859</v>
      </c>
      <c r="G16" s="10">
        <f t="shared" ref="G16" si="138">F16*$J$4</f>
        <v>11128.732583990695</v>
      </c>
      <c r="H16" s="10">
        <f t="shared" ref="H16" si="139">G16*$J$4</f>
        <v>11295.663572750555</v>
      </c>
      <c r="I16" s="10">
        <f t="shared" ref="I16" si="140">H16*$J$4</f>
        <v>11465.098526341812</v>
      </c>
      <c r="J16" s="10">
        <f t="shared" ref="J16" si="141">I16*$J$4</f>
        <v>11637.075004236938</v>
      </c>
      <c r="K16" s="10">
        <f t="shared" ref="K16" si="142">J16*$J$4</f>
        <v>11811.631129300491</v>
      </c>
      <c r="L16" s="10">
        <f t="shared" ref="L16" si="143">K16*$J$4</f>
        <v>11988.805596239998</v>
      </c>
      <c r="M16" s="10">
        <f t="shared" ref="M16" si="144">L16*$J$4</f>
        <v>12168.637680183596</v>
      </c>
      <c r="N16" s="10">
        <f t="shared" ref="N16" si="145">M16*$J$4</f>
        <v>12351.167245386348</v>
      </c>
      <c r="O16" s="10">
        <f t="shared" ref="O16" si="146">N16*$J$4</f>
        <v>12536.434754067142</v>
      </c>
      <c r="P16" s="10">
        <f t="shared" ref="P16" si="147">O16*$J$4</f>
        <v>12724.481275378148</v>
      </c>
      <c r="Q16" s="10">
        <f t="shared" ref="Q16" si="148">P16*$J$4</f>
        <v>12915.348494508818</v>
      </c>
      <c r="R16" s="10">
        <f t="shared" ref="R16" si="149">Q16*$J$4</f>
        <v>13109.078721926449</v>
      </c>
      <c r="S16" s="10">
        <f t="shared" ref="S16" si="150">R16*$J$4</f>
        <v>13305.714902755344</v>
      </c>
      <c r="T16" s="10">
        <f t="shared" ref="T16" si="151">S16*$J$4</f>
        <v>13505.300626296674</v>
      </c>
      <c r="U16" s="10">
        <f t="shared" ref="U16" si="152">T16*$J$4</f>
        <v>13707.880135691123</v>
      </c>
      <c r="V16" s="10">
        <f t="shared" ref="V16" si="153">U16*$J$4</f>
        <v>13913.498337726489</v>
      </c>
      <c r="W16" s="10">
        <f t="shared" ref="W16" si="154">V16*$J$4</f>
        <v>14122.200812792385</v>
      </c>
      <c r="X16" s="10">
        <f t="shared" ref="X16" si="155">W16*$J$4</f>
        <v>14334.03382498427</v>
      </c>
      <c r="Y16" s="10">
        <f t="shared" ref="Y16" si="156">X16*$J$4</f>
        <v>14549.044332359032</v>
      </c>
      <c r="Z16" s="10">
        <f t="shared" ref="Z16" si="157">Y16*$J$4</f>
        <v>14767.279997344416</v>
      </c>
      <c r="AA16" s="10">
        <f t="shared" ref="AA16" si="158">Z16*$J$4</f>
        <v>14988.789197304581</v>
      </c>
      <c r="AB16" s="10">
        <f t="shared" ref="AB16" si="159">AA16*$J$4</f>
        <v>15213.621035264148</v>
      </c>
      <c r="AC16" s="10">
        <f t="shared" ref="AC16" si="160">AB16*$J$4</f>
        <v>15441.825350793109</v>
      </c>
      <c r="AD16" s="10">
        <f t="shared" ref="AD16" si="161">AC16*$J$4</f>
        <v>15673.452731055004</v>
      </c>
      <c r="AE16" s="10">
        <f t="shared" ref="AE16" si="162">AD16*$J$4</f>
        <v>15908.554522020828</v>
      </c>
      <c r="AF16" s="11">
        <f t="shared" ref="AF16" si="163">AE16-A16</f>
        <v>5730.8590247128977</v>
      </c>
      <c r="AG16" s="9"/>
      <c r="AH16" s="8">
        <f t="shared" ref="AH16:AH25" si="164">18.62*AF16</f>
        <v>106708.59504015416</v>
      </c>
      <c r="AI16" s="8" t="s">
        <v>16</v>
      </c>
      <c r="AJ16" s="8">
        <f t="shared" ref="AJ16" si="165">18.6*AE16</f>
        <v>295899.11410958745</v>
      </c>
    </row>
    <row r="17" spans="1:36" x14ac:dyDescent="0.25">
      <c r="A17" s="10"/>
      <c r="B17" s="10">
        <f t="shared" ref="B17" si="166">B16-A16</f>
        <v>152.66543245961839</v>
      </c>
      <c r="C17" s="10">
        <f t="shared" ref="C17" si="167">C16-B16</f>
        <v>154.95541394651264</v>
      </c>
      <c r="D17" s="10">
        <f t="shared" ref="D17" si="168">D16-C16</f>
        <v>157.27974515571077</v>
      </c>
      <c r="E17" s="10">
        <f t="shared" ref="E17" si="169">E16-D16</f>
        <v>159.6389413330453</v>
      </c>
      <c r="F17" s="10">
        <f t="shared" ref="F17" si="170">F16-E16</f>
        <v>162.03352545304188</v>
      </c>
      <c r="G17" s="10">
        <f t="shared" ref="G17" si="171">G16-F16</f>
        <v>164.46402833483626</v>
      </c>
      <c r="H17" s="10">
        <f t="shared" ref="H17" si="172">H16-G16</f>
        <v>166.93098875985925</v>
      </c>
      <c r="I17" s="10">
        <f t="shared" ref="I17" si="173">I16-H16</f>
        <v>169.434953591257</v>
      </c>
      <c r="J17" s="10">
        <f t="shared" ref="J17" si="174">J16-I16</f>
        <v>171.97647789512666</v>
      </c>
      <c r="K17" s="10">
        <f t="shared" ref="K17" si="175">K16-J16</f>
        <v>174.55612506355283</v>
      </c>
      <c r="L17" s="10">
        <f t="shared" ref="L17" si="176">L16-K16</f>
        <v>177.1744669395066</v>
      </c>
      <c r="M17" s="10">
        <f t="shared" ref="M17" si="177">M16-L16</f>
        <v>179.83208394359826</v>
      </c>
      <c r="N17" s="10">
        <f t="shared" ref="N17" si="178">N16-M16</f>
        <v>182.52956520275256</v>
      </c>
      <c r="O17" s="10">
        <f t="shared" ref="O17" si="179">O16-N16</f>
        <v>185.26750868079398</v>
      </c>
      <c r="P17" s="10">
        <f t="shared" ref="P17" si="180">P16-O16</f>
        <v>188.04652131100556</v>
      </c>
      <c r="Q17" s="10">
        <f t="shared" ref="Q17" si="181">Q16-P16</f>
        <v>190.86721913067049</v>
      </c>
      <c r="R17" s="10">
        <f t="shared" ref="R17" si="182">R16-Q16</f>
        <v>193.73022741763089</v>
      </c>
      <c r="S17" s="10">
        <f t="shared" ref="S17" si="183">S16-R16</f>
        <v>196.63618082889479</v>
      </c>
      <c r="T17" s="10">
        <f t="shared" ref="T17" si="184">T16-S16</f>
        <v>199.58572354132957</v>
      </c>
      <c r="U17" s="10">
        <f t="shared" ref="U17" si="185">U16-T16</f>
        <v>202.57950939444891</v>
      </c>
      <c r="V17" s="10">
        <f t="shared" ref="V17" si="186">V16-U16</f>
        <v>205.61820203536627</v>
      </c>
      <c r="W17" s="10">
        <f t="shared" ref="W17" si="187">W16-V16</f>
        <v>208.70247506589658</v>
      </c>
      <c r="X17" s="10">
        <f t="shared" ref="X17" si="188">X16-W16</f>
        <v>211.83301219188434</v>
      </c>
      <c r="Y17" s="10">
        <f t="shared" ref="Y17" si="189">Y16-X16</f>
        <v>215.0105073747618</v>
      </c>
      <c r="Z17" s="10">
        <f t="shared" ref="Z17" si="190">Z16-Y16</f>
        <v>218.23566498538457</v>
      </c>
      <c r="AA17" s="10">
        <f t="shared" ref="AA17" si="191">AA16-Z16</f>
        <v>221.50919996016455</v>
      </c>
      <c r="AB17" s="10">
        <f t="shared" ref="AB17" si="192">AB16-AA16</f>
        <v>224.83183795956757</v>
      </c>
      <c r="AC17" s="10">
        <f t="shared" ref="AC17" si="193">AC16-AB16</f>
        <v>228.20431552896116</v>
      </c>
      <c r="AD17" s="10">
        <f t="shared" ref="AD17" si="194">AD16-AC16</f>
        <v>231.62738026189436</v>
      </c>
      <c r="AE17" s="10">
        <f t="shared" ref="AE17" si="195">AE16-AD16</f>
        <v>235.10179096582397</v>
      </c>
      <c r="AF17" s="12">
        <f t="shared" ref="AF17" si="196">AVERAGE(B17:AE17)</f>
        <v>191.0286341570966</v>
      </c>
      <c r="AG17" s="9"/>
      <c r="AH17" s="8">
        <f t="shared" si="164"/>
        <v>3556.9531680051391</v>
      </c>
      <c r="AI17" s="8"/>
      <c r="AJ17" s="8"/>
    </row>
    <row r="18" spans="1:36" x14ac:dyDescent="0.25">
      <c r="A18" s="10">
        <f t="shared" ref="A18" si="197">AE16</f>
        <v>15908.554522020828</v>
      </c>
      <c r="B18" s="10">
        <f t="shared" ref="B18" si="198">A18*$J$4</f>
        <v>16147.182839851139</v>
      </c>
      <c r="C18" s="10">
        <f t="shared" ref="C18" si="199">B18*$J$4</f>
        <v>16389.390582448905</v>
      </c>
      <c r="D18" s="10">
        <f t="shared" ref="D18" si="200">C18*$J$4</f>
        <v>16635.231441185635</v>
      </c>
      <c r="E18" s="10">
        <f t="shared" ref="E18" si="201">D18*$J$4</f>
        <v>16884.759912803416</v>
      </c>
      <c r="F18" s="10">
        <f t="shared" ref="F18" si="202">E18*$J$4</f>
        <v>17138.031311495466</v>
      </c>
      <c r="G18" s="10">
        <f t="shared" ref="G18" si="203">F18*$J$4</f>
        <v>17395.101781167898</v>
      </c>
      <c r="H18" s="10">
        <f t="shared" ref="H18" si="204">G18*$J$4</f>
        <v>17656.028307885415</v>
      </c>
      <c r="I18" s="10">
        <f t="shared" ref="I18" si="205">H18*$J$4</f>
        <v>17920.868732503695</v>
      </c>
      <c r="J18" s="10">
        <f t="shared" ref="J18" si="206">I18*$J$4</f>
        <v>18189.681763491248</v>
      </c>
      <c r="K18" s="10">
        <f t="shared" ref="K18" si="207">J18*$J$4</f>
        <v>18462.526989943613</v>
      </c>
      <c r="L18" s="10">
        <f t="shared" ref="L18" si="208">K18*$J$4</f>
        <v>18739.464894792767</v>
      </c>
      <c r="M18" s="10">
        <f t="shared" ref="M18" si="209">L18*$J$4</f>
        <v>19020.556868214659</v>
      </c>
      <c r="N18" s="10">
        <f t="shared" ref="N18" si="210">M18*$J$4</f>
        <v>19305.865221237877</v>
      </c>
      <c r="O18" s="10">
        <f t="shared" ref="O18" si="211">N18*$J$4</f>
        <v>19595.453199556443</v>
      </c>
      <c r="P18" s="10">
        <f t="shared" ref="P18" si="212">O18*$J$4</f>
        <v>19889.384997549787</v>
      </c>
      <c r="Q18" s="10">
        <f t="shared" ref="Q18" si="213">P18*$J$4</f>
        <v>20187.725772513033</v>
      </c>
      <c r="R18" s="10">
        <f t="shared" ref="R18" si="214">Q18*$J$4</f>
        <v>20490.541659100727</v>
      </c>
      <c r="S18" s="10">
        <f t="shared" ref="S18" si="215">R18*$J$4</f>
        <v>20797.899783987235</v>
      </c>
      <c r="T18" s="10">
        <f t="shared" ref="T18" si="216">S18*$J$4</f>
        <v>21109.868280747043</v>
      </c>
      <c r="U18" s="10">
        <f t="shared" ref="U18" si="217">T18*$J$4</f>
        <v>21426.516304958248</v>
      </c>
      <c r="V18" s="10">
        <f t="shared" ref="V18" si="218">U18*$J$4</f>
        <v>21747.914049532621</v>
      </c>
      <c r="W18" s="10">
        <f t="shared" ref="W18" si="219">V18*$J$4</f>
        <v>22074.132760275606</v>
      </c>
      <c r="X18" s="10">
        <f t="shared" ref="X18" si="220">W18*$J$4</f>
        <v>22405.24475167974</v>
      </c>
      <c r="Y18" s="10">
        <f t="shared" ref="Y18" si="221">X18*$J$4</f>
        <v>22741.323422954934</v>
      </c>
      <c r="Z18" s="10">
        <f t="shared" ref="Z18" si="222">Y18*$J$4</f>
        <v>23082.443274299258</v>
      </c>
      <c r="AA18" s="10">
        <f t="shared" ref="AA18" si="223">Z18*$J$4</f>
        <v>23428.679923413743</v>
      </c>
      <c r="AB18" s="10">
        <f t="shared" ref="AB18" si="224">AA18*$J$4</f>
        <v>23780.110122264949</v>
      </c>
      <c r="AC18" s="10">
        <f t="shared" ref="AC18" si="225">AB18*$J$4</f>
        <v>24136.811774098922</v>
      </c>
      <c r="AD18" s="10">
        <f t="shared" ref="AD18" si="226">AC18*$J$4</f>
        <v>24498.863950710402</v>
      </c>
      <c r="AE18" s="10">
        <f t="shared" ref="AE18" si="227">AD18*$J$4</f>
        <v>24866.346909971056</v>
      </c>
      <c r="AF18" s="11">
        <f t="shared" ref="AF18" si="228">AE18-A18</f>
        <v>8957.7923879502287</v>
      </c>
      <c r="AG18" s="9"/>
      <c r="AH18" s="8">
        <f t="shared" si="164"/>
        <v>166794.09426363328</v>
      </c>
      <c r="AI18" s="8" t="s">
        <v>17</v>
      </c>
      <c r="AJ18" s="8">
        <f t="shared" ref="AJ18" si="229">18.6*AE18</f>
        <v>462514.05252546171</v>
      </c>
    </row>
    <row r="19" spans="1:36" x14ac:dyDescent="0.25">
      <c r="A19" s="10"/>
      <c r="B19" s="10">
        <f t="shared" ref="B19" si="230">B18-A18</f>
        <v>238.62831783031106</v>
      </c>
      <c r="C19" s="10">
        <f t="shared" ref="C19" si="231">C18-B18</f>
        <v>242.2077425977659</v>
      </c>
      <c r="D19" s="10">
        <f t="shared" ref="D19" si="232">D18-C18</f>
        <v>245.8408587367303</v>
      </c>
      <c r="E19" s="10">
        <f t="shared" ref="E19" si="233">E18-D18</f>
        <v>249.52847161778118</v>
      </c>
      <c r="F19" s="10">
        <f t="shared" ref="F19" si="234">F18-E18</f>
        <v>253.27139869204984</v>
      </c>
      <c r="G19" s="10">
        <f t="shared" ref="G19" si="235">G18-F18</f>
        <v>257.0704696724315</v>
      </c>
      <c r="H19" s="10">
        <f t="shared" ref="H19" si="236">H18-G18</f>
        <v>260.92652671751785</v>
      </c>
      <c r="I19" s="10">
        <f t="shared" ref="I19" si="237">I18-H18</f>
        <v>264.84042461827994</v>
      </c>
      <c r="J19" s="10">
        <f t="shared" ref="J19" si="238">J18-I18</f>
        <v>268.81303098755234</v>
      </c>
      <c r="K19" s="10">
        <f t="shared" ref="K19" si="239">K18-J18</f>
        <v>272.84522645236575</v>
      </c>
      <c r="L19" s="10">
        <f t="shared" ref="L19" si="240">L18-K18</f>
        <v>276.93790484915371</v>
      </c>
      <c r="M19" s="10">
        <f t="shared" ref="M19" si="241">M18-L18</f>
        <v>281.09197342189145</v>
      </c>
      <c r="N19" s="10">
        <f t="shared" ref="N19" si="242">N18-M18</f>
        <v>285.30835302321793</v>
      </c>
      <c r="O19" s="10">
        <f t="shared" ref="O19" si="243">O18-N18</f>
        <v>289.58797831856646</v>
      </c>
      <c r="P19" s="10">
        <f t="shared" ref="P19" si="244">P18-O18</f>
        <v>293.93179799334393</v>
      </c>
      <c r="Q19" s="10">
        <f t="shared" ref="Q19" si="245">Q18-P18</f>
        <v>298.34077496324608</v>
      </c>
      <c r="R19" s="10">
        <f t="shared" ref="R19" si="246">R18-Q18</f>
        <v>302.81588658769397</v>
      </c>
      <c r="S19" s="10">
        <f t="shared" ref="S19" si="247">S18-R18</f>
        <v>307.35812488650845</v>
      </c>
      <c r="T19" s="10">
        <f t="shared" ref="T19" si="248">T18-S18</f>
        <v>311.96849675980775</v>
      </c>
      <c r="U19" s="10">
        <f t="shared" ref="U19" si="249">U18-T18</f>
        <v>316.64802421120476</v>
      </c>
      <c r="V19" s="10">
        <f t="shared" ref="V19" si="250">V18-U18</f>
        <v>321.39774457437306</v>
      </c>
      <c r="W19" s="10">
        <f t="shared" ref="W19" si="251">W18-V18</f>
        <v>326.21871074298542</v>
      </c>
      <c r="X19" s="10">
        <f t="shared" ref="X19" si="252">X18-W18</f>
        <v>331.11199140413373</v>
      </c>
      <c r="Y19" s="10">
        <f t="shared" ref="Y19" si="253">Y18-X18</f>
        <v>336.07867127519421</v>
      </c>
      <c r="Z19" s="10">
        <f t="shared" ref="Z19" si="254">Z18-Y18</f>
        <v>341.11985134432325</v>
      </c>
      <c r="AA19" s="10">
        <f t="shared" ref="AA19" si="255">AA18-Z18</f>
        <v>346.23664911448577</v>
      </c>
      <c r="AB19" s="10">
        <f t="shared" ref="AB19" si="256">AB18-AA18</f>
        <v>351.4301988512052</v>
      </c>
      <c r="AC19" s="10">
        <f t="shared" ref="AC19" si="257">AC18-AB18</f>
        <v>356.7016518339733</v>
      </c>
      <c r="AD19" s="10">
        <f t="shared" ref="AD19" si="258">AD18-AC18</f>
        <v>362.05217661147981</v>
      </c>
      <c r="AE19" s="10">
        <f t="shared" ref="AE19" si="259">AE18-AD18</f>
        <v>367.48295926065475</v>
      </c>
      <c r="AF19" s="12">
        <f t="shared" ref="AF19" si="260">AVERAGE(B19:AE19)</f>
        <v>298.59307959834098</v>
      </c>
      <c r="AG19" s="9"/>
      <c r="AH19" s="8">
        <f t="shared" si="164"/>
        <v>5559.803142121109</v>
      </c>
      <c r="AI19" s="8"/>
      <c r="AJ19" s="8"/>
    </row>
    <row r="20" spans="1:36" x14ac:dyDescent="0.25">
      <c r="A20" s="10">
        <f t="shared" ref="A20" si="261">AE18</f>
        <v>24866.346909971056</v>
      </c>
      <c r="B20" s="10">
        <f t="shared" ref="B20" si="262">A20*$J$4</f>
        <v>25239.34211362062</v>
      </c>
      <c r="C20" s="10">
        <f t="shared" ref="C20" si="263">B20*$J$4</f>
        <v>25617.932245324926</v>
      </c>
      <c r="D20" s="10">
        <f t="shared" ref="D20" si="264">C20*$J$4</f>
        <v>26002.201229004797</v>
      </c>
      <c r="E20" s="10">
        <f t="shared" ref="E20" si="265">D20*$J$4</f>
        <v>26392.234247439865</v>
      </c>
      <c r="F20" s="10">
        <f t="shared" ref="F20" si="266">E20*$J$4</f>
        <v>26788.117761151461</v>
      </c>
      <c r="G20" s="10">
        <f t="shared" ref="G20" si="267">F20*$J$4</f>
        <v>27189.939527568731</v>
      </c>
      <c r="H20" s="10">
        <f t="shared" ref="H20" si="268">G20*$J$4</f>
        <v>27597.788620482261</v>
      </c>
      <c r="I20" s="10">
        <f t="shared" ref="I20" si="269">H20*$J$4</f>
        <v>28011.755449789493</v>
      </c>
      <c r="J20" s="10">
        <f t="shared" ref="J20" si="270">I20*$J$4</f>
        <v>28431.931781536332</v>
      </c>
      <c r="K20" s="10">
        <f t="shared" ref="K20" si="271">J20*$J$4</f>
        <v>28858.410758259375</v>
      </c>
      <c r="L20" s="10">
        <f t="shared" ref="L20" si="272">K20*$J$4</f>
        <v>29291.286919633261</v>
      </c>
      <c r="M20" s="10">
        <f t="shared" ref="M20" si="273">L20*$J$4</f>
        <v>29730.656223427759</v>
      </c>
      <c r="N20" s="10">
        <f t="shared" ref="N20" si="274">M20*$J$4</f>
        <v>30176.616066779174</v>
      </c>
      <c r="O20" s="10">
        <f t="shared" ref="O20" si="275">N20*$J$4</f>
        <v>30629.265307780857</v>
      </c>
      <c r="P20" s="10">
        <f t="shared" ref="P20" si="276">O20*$J$4</f>
        <v>31088.704287397566</v>
      </c>
      <c r="Q20" s="10">
        <f t="shared" ref="Q20" si="277">P20*$J$4</f>
        <v>31555.034851708526</v>
      </c>
      <c r="R20" s="10">
        <f t="shared" ref="R20" si="278">Q20*$J$4</f>
        <v>32028.360374484149</v>
      </c>
      <c r="S20" s="10">
        <f t="shared" ref="S20" si="279">R20*$J$4</f>
        <v>32508.785780101407</v>
      </c>
      <c r="T20" s="10">
        <f t="shared" ref="T20" si="280">S20*$J$4</f>
        <v>32996.417566802927</v>
      </c>
      <c r="U20" s="10">
        <f t="shared" ref="U20" si="281">T20*$J$4</f>
        <v>33491.363830304967</v>
      </c>
      <c r="V20" s="10">
        <f t="shared" ref="V20" si="282">U20*$J$4</f>
        <v>33993.734287759537</v>
      </c>
      <c r="W20" s="10">
        <f t="shared" ref="W20" si="283">V20*$J$4</f>
        <v>34503.640302075924</v>
      </c>
      <c r="X20" s="10">
        <f t="shared" ref="X20" si="284">W20*$J$4</f>
        <v>35021.194906607059</v>
      </c>
      <c r="Y20" s="10">
        <f t="shared" ref="Y20" si="285">X20*$J$4</f>
        <v>35546.512830206164</v>
      </c>
      <c r="Z20" s="10">
        <f t="shared" ref="Z20" si="286">Y20*$J$4</f>
        <v>36079.710522659254</v>
      </c>
      <c r="AA20" s="10">
        <f t="shared" ref="AA20" si="287">Z20*$J$4</f>
        <v>36620.906180499136</v>
      </c>
      <c r="AB20" s="10">
        <f t="shared" ref="AB20" si="288">AA20*$J$4</f>
        <v>37170.21977320662</v>
      </c>
      <c r="AC20" s="10">
        <f t="shared" ref="AC20" si="289">AB20*$J$4</f>
        <v>37727.773069804716</v>
      </c>
      <c r="AD20" s="10">
        <f t="shared" ref="AD20" si="290">AC20*$J$4</f>
        <v>38293.68966585178</v>
      </c>
      <c r="AE20" s="10">
        <f t="shared" ref="AE20" si="291">AD20*$J$4</f>
        <v>38868.095010839555</v>
      </c>
      <c r="AF20" s="11">
        <f t="shared" ref="AF20" si="292">AE20-A20</f>
        <v>14001.748100868499</v>
      </c>
      <c r="AG20" s="9"/>
      <c r="AH20" s="8">
        <f t="shared" si="164"/>
        <v>260712.54963817148</v>
      </c>
      <c r="AI20" s="8" t="s">
        <v>18</v>
      </c>
      <c r="AJ20" s="8">
        <f t="shared" ref="AJ20" si="293">18.6*AE20</f>
        <v>722946.56720161578</v>
      </c>
    </row>
    <row r="21" spans="1:36" x14ac:dyDescent="0.25">
      <c r="A21" s="10"/>
      <c r="B21" s="10">
        <f t="shared" ref="B21" si="294">B20-A20</f>
        <v>372.99520364956334</v>
      </c>
      <c r="C21" s="10">
        <f t="shared" ref="C21" si="295">C20-B20</f>
        <v>378.59013170430626</v>
      </c>
      <c r="D21" s="10">
        <f t="shared" ref="D21" si="296">D20-C20</f>
        <v>384.26898367987087</v>
      </c>
      <c r="E21" s="10">
        <f t="shared" ref="E21" si="297">E20-D20</f>
        <v>390.03301843506779</v>
      </c>
      <c r="F21" s="10">
        <f t="shared" ref="F21" si="298">F20-E20</f>
        <v>395.88351371159661</v>
      </c>
      <c r="G21" s="10">
        <f t="shared" ref="G21" si="299">G20-F20</f>
        <v>401.82176641726983</v>
      </c>
      <c r="H21" s="10">
        <f t="shared" ref="H21" si="300">H20-G20</f>
        <v>407.8490929135296</v>
      </c>
      <c r="I21" s="10">
        <f t="shared" ref="I21" si="301">I20-H20</f>
        <v>413.96682930723182</v>
      </c>
      <c r="J21" s="10">
        <f t="shared" ref="J21" si="302">J20-I20</f>
        <v>420.17633174683942</v>
      </c>
      <c r="K21" s="10">
        <f t="shared" ref="K21" si="303">K20-J20</f>
        <v>426.47897672304316</v>
      </c>
      <c r="L21" s="10">
        <f t="shared" ref="L21" si="304">L20-K20</f>
        <v>432.87616137388613</v>
      </c>
      <c r="M21" s="10">
        <f t="shared" ref="M21" si="305">M20-L20</f>
        <v>439.36930379449768</v>
      </c>
      <c r="N21" s="10">
        <f t="shared" ref="N21" si="306">N20-M20</f>
        <v>445.95984335141475</v>
      </c>
      <c r="O21" s="10">
        <f t="shared" ref="O21" si="307">O20-N20</f>
        <v>452.64924100168355</v>
      </c>
      <c r="P21" s="10">
        <f t="shared" ref="P21" si="308">P20-O20</f>
        <v>459.43897961670882</v>
      </c>
      <c r="Q21" s="10">
        <f t="shared" ref="Q21" si="309">Q20-P20</f>
        <v>466.33056431095974</v>
      </c>
      <c r="R21" s="10">
        <f t="shared" ref="R21" si="310">R20-Q20</f>
        <v>473.32552277562354</v>
      </c>
      <c r="S21" s="10">
        <f t="shared" ref="S21" si="311">S20-R20</f>
        <v>480.42540561725764</v>
      </c>
      <c r="T21" s="10">
        <f t="shared" ref="T21" si="312">T20-S20</f>
        <v>487.63178670152047</v>
      </c>
      <c r="U21" s="10">
        <f t="shared" ref="U21" si="313">U20-T20</f>
        <v>494.94626350203907</v>
      </c>
      <c r="V21" s="10">
        <f t="shared" ref="V21" si="314">V20-U20</f>
        <v>502.37045745456999</v>
      </c>
      <c r="W21" s="10">
        <f t="shared" ref="W21" si="315">W20-V20</f>
        <v>509.90601431638788</v>
      </c>
      <c r="X21" s="10">
        <f t="shared" ref="X21" si="316">X20-W20</f>
        <v>517.55460453113483</v>
      </c>
      <c r="Y21" s="10">
        <f t="shared" ref="Y21" si="317">Y20-X20</f>
        <v>525.31792359910469</v>
      </c>
      <c r="Z21" s="10">
        <f t="shared" ref="Z21" si="318">Z20-Y20</f>
        <v>533.19769245308999</v>
      </c>
      <c r="AA21" s="10">
        <f t="shared" ref="AA21" si="319">AA20-Z20</f>
        <v>541.19565783988219</v>
      </c>
      <c r="AB21" s="10">
        <f t="shared" ref="AB21" si="320">AB20-AA20</f>
        <v>549.31359270748362</v>
      </c>
      <c r="AC21" s="10">
        <f t="shared" ref="AC21" si="321">AC20-AB20</f>
        <v>557.55329659809649</v>
      </c>
      <c r="AD21" s="10">
        <f t="shared" ref="AD21" si="322">AD20-AC20</f>
        <v>565.91659604706365</v>
      </c>
      <c r="AE21" s="10">
        <f t="shared" ref="AE21" si="323">AE20-AD20</f>
        <v>574.40534498777561</v>
      </c>
      <c r="AF21" s="12">
        <f t="shared" ref="AF21" si="324">AVERAGE(B21:AE21)</f>
        <v>466.72493669561663</v>
      </c>
      <c r="AG21" s="9"/>
      <c r="AH21" s="8">
        <f t="shared" si="164"/>
        <v>8690.4183212723819</v>
      </c>
      <c r="AI21" s="8"/>
      <c r="AJ21" s="8"/>
    </row>
    <row r="22" spans="1:36" x14ac:dyDescent="0.25">
      <c r="A22" s="10">
        <f t="shared" ref="A22" si="325">AE20</f>
        <v>38868.095010839555</v>
      </c>
      <c r="B22" s="10">
        <f t="shared" ref="B22" si="326">A22*$J$4</f>
        <v>39451.116436002143</v>
      </c>
      <c r="C22" s="10">
        <f t="shared" ref="C22" si="327">B22*$J$4</f>
        <v>40042.883182542173</v>
      </c>
      <c r="D22" s="10">
        <f t="shared" ref="D22" si="328">C22*$J$4</f>
        <v>40643.526430280304</v>
      </c>
      <c r="E22" s="10">
        <f t="shared" ref="E22" si="329">D22*$J$4</f>
        <v>41253.179326734506</v>
      </c>
      <c r="F22" s="10">
        <f t="shared" ref="F22" si="330">E22*$J$4</f>
        <v>41871.977016635516</v>
      </c>
      <c r="G22" s="10">
        <f t="shared" ref="G22" si="331">F22*$J$4</f>
        <v>42500.056671885046</v>
      </c>
      <c r="H22" s="10">
        <f t="shared" ref="H22" si="332">G22*$J$4</f>
        <v>43137.557521963317</v>
      </c>
      <c r="I22" s="10">
        <f t="shared" ref="I22" si="333">H22*$J$4</f>
        <v>43784.620884792763</v>
      </c>
      <c r="J22" s="10">
        <f t="shared" ref="J22" si="334">I22*$J$4</f>
        <v>44441.390198064648</v>
      </c>
      <c r="K22" s="10">
        <f t="shared" ref="K22" si="335">J22*$J$4</f>
        <v>45108.01105103561</v>
      </c>
      <c r="L22" s="10">
        <f t="shared" ref="L22" si="336">K22*$J$4</f>
        <v>45784.631216801143</v>
      </c>
      <c r="M22" s="10">
        <f t="shared" ref="M22" si="337">L22*$J$4</f>
        <v>46471.400685053159</v>
      </c>
      <c r="N22" s="10">
        <f t="shared" ref="N22" si="338">M22*$J$4</f>
        <v>47168.471695328954</v>
      </c>
      <c r="O22" s="10">
        <f t="shared" ref="O22" si="339">N22*$J$4</f>
        <v>47875.998770758881</v>
      </c>
      <c r="P22" s="10">
        <f t="shared" ref="P22" si="340">O22*$J$4</f>
        <v>48594.138752320257</v>
      </c>
      <c r="Q22" s="10">
        <f t="shared" ref="Q22" si="341">P22*$J$4</f>
        <v>49323.050833605055</v>
      </c>
      <c r="R22" s="10">
        <f t="shared" ref="R22" si="342">Q22*$J$4</f>
        <v>50062.896596109123</v>
      </c>
      <c r="S22" s="10">
        <f t="shared" ref="S22" si="343">R22*$J$4</f>
        <v>50813.840045050754</v>
      </c>
      <c r="T22" s="10">
        <f t="shared" ref="T22" si="344">S22*$J$4</f>
        <v>51576.04764572651</v>
      </c>
      <c r="U22" s="10">
        <f t="shared" ref="U22" si="345">T22*$J$4</f>
        <v>52349.688360412401</v>
      </c>
      <c r="V22" s="10">
        <f t="shared" ref="V22" si="346">U22*$J$4</f>
        <v>53134.933685818585</v>
      </c>
      <c r="W22" s="10">
        <f t="shared" ref="W22" si="347">V22*$J$4</f>
        <v>53931.957691105861</v>
      </c>
      <c r="X22" s="10">
        <f t="shared" ref="X22" si="348">W22*$J$4</f>
        <v>54740.937056472445</v>
      </c>
      <c r="Y22" s="10">
        <f t="shared" ref="Y22" si="349">X22*$J$4</f>
        <v>55562.051112319525</v>
      </c>
      <c r="Z22" s="10">
        <f t="shared" ref="Z22" si="350">Y22*$J$4</f>
        <v>56395.481879004314</v>
      </c>
      <c r="AA22" s="10">
        <f t="shared" ref="AA22" si="351">Z22*$J$4</f>
        <v>57241.414107189375</v>
      </c>
      <c r="AB22" s="10">
        <f t="shared" ref="AB22" si="352">AA22*$J$4</f>
        <v>58100.035318797214</v>
      </c>
      <c r="AC22" s="10">
        <f t="shared" ref="AC22" si="353">AB22*$J$4</f>
        <v>58971.535848579166</v>
      </c>
      <c r="AD22" s="10">
        <f t="shared" ref="AD22" si="354">AC22*$J$4</f>
        <v>59856.108886307848</v>
      </c>
      <c r="AE22" s="10">
        <f t="shared" ref="AE22" si="355">AD22*$J$4</f>
        <v>60753.950519602462</v>
      </c>
      <c r="AF22" s="11">
        <f t="shared" ref="AF22" si="356">AE22-A22</f>
        <v>21885.855508762907</v>
      </c>
      <c r="AG22" s="9"/>
      <c r="AH22" s="8">
        <f t="shared" si="164"/>
        <v>407514.62957316532</v>
      </c>
      <c r="AI22" s="8" t="s">
        <v>19</v>
      </c>
      <c r="AJ22" s="8">
        <f t="shared" ref="AJ22" si="357">18.6*AE22</f>
        <v>1130023.4796646058</v>
      </c>
    </row>
    <row r="23" spans="1:36" x14ac:dyDescent="0.25">
      <c r="A23" s="10"/>
      <c r="B23" s="10">
        <f t="shared" ref="B23" si="358">B22-A22</f>
        <v>583.02142516258755</v>
      </c>
      <c r="C23" s="10">
        <f t="shared" ref="C23" si="359">C22-B22</f>
        <v>591.76674654003</v>
      </c>
      <c r="D23" s="10">
        <f t="shared" ref="D23" si="360">D22-C22</f>
        <v>600.64324773813132</v>
      </c>
      <c r="E23" s="10">
        <f t="shared" ref="E23" si="361">E22-D22</f>
        <v>609.65289645420125</v>
      </c>
      <c r="F23" s="10">
        <f t="shared" ref="F23" si="362">F22-E22</f>
        <v>618.79768990101002</v>
      </c>
      <c r="G23" s="10">
        <f t="shared" ref="G23" si="363">G22-F22</f>
        <v>628.07965524953033</v>
      </c>
      <c r="H23" s="10">
        <f t="shared" ref="H23" si="364">H22-G22</f>
        <v>637.50085007827147</v>
      </c>
      <c r="I23" s="10">
        <f t="shared" ref="I23" si="365">I22-H22</f>
        <v>647.0633628294454</v>
      </c>
      <c r="J23" s="10">
        <f t="shared" ref="J23" si="366">J22-I22</f>
        <v>656.76931327188504</v>
      </c>
      <c r="K23" s="10">
        <f t="shared" ref="K23" si="367">K22-J22</f>
        <v>666.62085297096201</v>
      </c>
      <c r="L23" s="10">
        <f t="shared" ref="L23" si="368">L22-K22</f>
        <v>676.62016576553287</v>
      </c>
      <c r="M23" s="10">
        <f t="shared" ref="M23" si="369">M22-L22</f>
        <v>686.76946825201594</v>
      </c>
      <c r="N23" s="10">
        <f t="shared" ref="N23" si="370">N22-M22</f>
        <v>697.07101027579483</v>
      </c>
      <c r="O23" s="10">
        <f t="shared" ref="O23" si="371">O22-N22</f>
        <v>707.52707542992721</v>
      </c>
      <c r="P23" s="10">
        <f t="shared" ref="P23" si="372">P22-O22</f>
        <v>718.13998156137677</v>
      </c>
      <c r="Q23" s="10">
        <f t="shared" ref="Q23" si="373">Q22-P22</f>
        <v>728.91208128479775</v>
      </c>
      <c r="R23" s="10">
        <f t="shared" ref="R23" si="374">R22-Q22</f>
        <v>739.84576250406826</v>
      </c>
      <c r="S23" s="10">
        <f t="shared" ref="S23" si="375">S22-R22</f>
        <v>750.94344894163078</v>
      </c>
      <c r="T23" s="10">
        <f t="shared" ref="T23" si="376">T22-S22</f>
        <v>762.20760067575611</v>
      </c>
      <c r="U23" s="10">
        <f t="shared" ref="U23" si="377">U22-T22</f>
        <v>773.640714685891</v>
      </c>
      <c r="V23" s="10">
        <f t="shared" ref="V23" si="378">V22-U22</f>
        <v>785.24532540618384</v>
      </c>
      <c r="W23" s="10">
        <f t="shared" ref="W23" si="379">W22-V22</f>
        <v>797.02400528727594</v>
      </c>
      <c r="X23" s="10">
        <f t="shared" ref="X23" si="380">X22-W22</f>
        <v>808.97936536658381</v>
      </c>
      <c r="Y23" s="10">
        <f t="shared" ref="Y23" si="381">Y22-X22</f>
        <v>821.11405584707973</v>
      </c>
      <c r="Z23" s="10">
        <f t="shared" ref="Z23" si="382">Z22-Y22</f>
        <v>833.43076668478898</v>
      </c>
      <c r="AA23" s="10">
        <f t="shared" ref="AA23" si="383">AA22-Z22</f>
        <v>845.93222818506183</v>
      </c>
      <c r="AB23" s="10">
        <f t="shared" ref="AB23" si="384">AB22-AA22</f>
        <v>858.62121160783863</v>
      </c>
      <c r="AC23" s="10">
        <f t="shared" ref="AC23" si="385">AC22-AB22</f>
        <v>871.50052978195163</v>
      </c>
      <c r="AD23" s="10">
        <f t="shared" ref="AD23" si="386">AD22-AC22</f>
        <v>884.57303772868181</v>
      </c>
      <c r="AE23" s="10">
        <f t="shared" ref="AE23" si="387">AE22-AD22</f>
        <v>897.84163329461444</v>
      </c>
      <c r="AF23" s="12">
        <f t="shared" ref="AF23" si="388">AVERAGE(B23:AE23)</f>
        <v>729.52851695876359</v>
      </c>
      <c r="AG23" s="9"/>
      <c r="AH23" s="8">
        <f t="shared" si="164"/>
        <v>13583.820985772179</v>
      </c>
      <c r="AI23" s="8"/>
      <c r="AJ23" s="8"/>
    </row>
    <row r="24" spans="1:36" x14ac:dyDescent="0.25">
      <c r="A24" s="10">
        <f t="shared" ref="A24" si="389">AE22</f>
        <v>60753.950519602462</v>
      </c>
      <c r="B24" s="10">
        <f t="shared" ref="B24:B30" si="390">A24*$J$4</f>
        <v>61665.259777396495</v>
      </c>
      <c r="C24" s="10">
        <f t="shared" ref="C24" si="391">B24*$J$4</f>
        <v>62590.238674057437</v>
      </c>
      <c r="D24" s="10">
        <f t="shared" ref="D24" si="392">C24*$J$4</f>
        <v>63529.092254168288</v>
      </c>
      <c r="E24" s="10">
        <f t="shared" ref="E24" si="393">D24*$J$4</f>
        <v>64482.028637980809</v>
      </c>
      <c r="F24" s="10">
        <f t="shared" ref="F24" si="394">E24*$J$4</f>
        <v>65449.259067550513</v>
      </c>
      <c r="G24" s="10">
        <f t="shared" ref="G24" si="395">F24*$J$4</f>
        <v>66430.997953563769</v>
      </c>
      <c r="H24" s="10">
        <f t="shared" ref="H24" si="396">G24*$J$4</f>
        <v>67427.462922867213</v>
      </c>
      <c r="I24" s="10">
        <f t="shared" ref="I24" si="397">H24*$J$4</f>
        <v>68438.874866710219</v>
      </c>
      <c r="J24" s="10">
        <f t="shared" ref="J24" si="398">I24*$J$4</f>
        <v>69465.457989710863</v>
      </c>
      <c r="K24" s="10">
        <f t="shared" ref="K24" si="399">J24*$J$4</f>
        <v>70507.439859556514</v>
      </c>
      <c r="L24" s="10">
        <f t="shared" ref="L24" si="400">K24*$J$4</f>
        <v>71565.051457449852</v>
      </c>
      <c r="M24" s="10">
        <f t="shared" ref="M24" si="401">L24*$J$4</f>
        <v>72638.5272293116</v>
      </c>
      <c r="N24" s="10">
        <f t="shared" ref="N24" si="402">M24*$J$4</f>
        <v>73728.105137751263</v>
      </c>
      <c r="O24" s="10">
        <f t="shared" ref="O24" si="403">N24*$J$4</f>
        <v>74834.026714817519</v>
      </c>
      <c r="P24" s="10">
        <f t="shared" ref="P24" si="404">O24*$J$4</f>
        <v>75956.537115539773</v>
      </c>
      <c r="Q24" s="10">
        <f t="shared" ref="Q24" si="405">P24*$J$4</f>
        <v>77095.885172272858</v>
      </c>
      <c r="R24" s="10">
        <f t="shared" ref="R24" si="406">Q24*$J$4</f>
        <v>78252.323449856936</v>
      </c>
      <c r="S24" s="10">
        <f t="shared" ref="S24" si="407">R24*$J$4</f>
        <v>79426.108301604778</v>
      </c>
      <c r="T24" s="10">
        <f t="shared" ref="T24" si="408">S24*$J$4</f>
        <v>80617.499926128847</v>
      </c>
      <c r="U24" s="10">
        <f t="shared" ref="U24" si="409">T24*$J$4</f>
        <v>81826.762425020774</v>
      </c>
      <c r="V24" s="10">
        <f t="shared" ref="V24" si="410">U24*$J$4</f>
        <v>83054.163861396082</v>
      </c>
      <c r="W24" s="10">
        <f t="shared" ref="W24" si="411">V24*$J$4</f>
        <v>84299.976319317022</v>
      </c>
      <c r="X24" s="10">
        <f t="shared" ref="X24" si="412">W24*$J$4</f>
        <v>85564.475964106765</v>
      </c>
      <c r="Y24" s="10">
        <f t="shared" ref="Y24" si="413">X24*$J$4</f>
        <v>86847.943103568352</v>
      </c>
      <c r="Z24" s="10">
        <f t="shared" ref="Z24" si="414">Y24*$J$4</f>
        <v>88150.662250121866</v>
      </c>
      <c r="AA24" s="10">
        <f t="shared" ref="AA24" si="415">Z24*$J$4</f>
        <v>89472.922183873685</v>
      </c>
      <c r="AB24" s="10">
        <f t="shared" ref="AB24" si="416">AA24*$J$4</f>
        <v>90815.01601663178</v>
      </c>
      <c r="AC24" s="10">
        <f t="shared" ref="AC24" si="417">AB24*$J$4</f>
        <v>92177.241256881243</v>
      </c>
      <c r="AD24" s="10">
        <f t="shared" ref="AD24" si="418">AC24*$J$4</f>
        <v>93559.899875734453</v>
      </c>
      <c r="AE24" s="10">
        <f t="shared" ref="AE24" si="419">AD24*$J$4</f>
        <v>94963.298373870464</v>
      </c>
      <c r="AF24" s="11">
        <f t="shared" ref="AF24" si="420">AE24-A24</f>
        <v>34209.347854268002</v>
      </c>
      <c r="AG24" s="9"/>
      <c r="AH24" s="8">
        <f t="shared" si="164"/>
        <v>636978.05704647023</v>
      </c>
      <c r="AI24" s="8" t="s">
        <v>20</v>
      </c>
      <c r="AJ24" s="8">
        <f t="shared" ref="AJ24" si="421">18.6*AE24</f>
        <v>1766317.3497539908</v>
      </c>
    </row>
    <row r="25" spans="1:36" x14ac:dyDescent="0.25">
      <c r="A25" s="10"/>
      <c r="B25" s="10">
        <f t="shared" ref="B25" si="422">B24-A24</f>
        <v>911.30925779403333</v>
      </c>
      <c r="C25" s="10">
        <f t="shared" ref="C25" si="423">C24-B24</f>
        <v>924.97889666094125</v>
      </c>
      <c r="D25" s="10">
        <f t="shared" ref="D25" si="424">D24-C24</f>
        <v>938.85358011085191</v>
      </c>
      <c r="E25" s="10">
        <f t="shared" ref="E25" si="425">E24-D24</f>
        <v>952.93638381252094</v>
      </c>
      <c r="F25" s="10">
        <f t="shared" ref="F25" si="426">F24-E24</f>
        <v>967.23042956970312</v>
      </c>
      <c r="G25" s="10">
        <f t="shared" ref="G25" si="427">G24-F24</f>
        <v>981.73888601325598</v>
      </c>
      <c r="H25" s="10">
        <f t="shared" ref="H25" si="428">H24-G24</f>
        <v>996.46496930344438</v>
      </c>
      <c r="I25" s="10">
        <f t="shared" ref="I25" si="429">I24-H24</f>
        <v>1011.4119438430062</v>
      </c>
      <c r="J25" s="10">
        <f t="shared" ref="J25" si="430">J24-I24</f>
        <v>1026.5831230006443</v>
      </c>
      <c r="K25" s="10">
        <f t="shared" ref="K25" si="431">K24-J24</f>
        <v>1041.9818698456511</v>
      </c>
      <c r="L25" s="10">
        <f t="shared" ref="L25" si="432">L24-K24</f>
        <v>1057.6115978933376</v>
      </c>
      <c r="M25" s="10">
        <f t="shared" ref="M25" si="433">M24-L24</f>
        <v>1073.4757718617475</v>
      </c>
      <c r="N25" s="10">
        <f t="shared" ref="N25" si="434">N24-M24</f>
        <v>1089.5779084396636</v>
      </c>
      <c r="O25" s="10">
        <f t="shared" ref="O25" si="435">O24-N24</f>
        <v>1105.9215770662558</v>
      </c>
      <c r="P25" s="10">
        <f t="shared" ref="P25" si="436">P24-O24</f>
        <v>1122.5104007222544</v>
      </c>
      <c r="Q25" s="10">
        <f t="shared" ref="Q25" si="437">Q24-P24</f>
        <v>1139.3480567330844</v>
      </c>
      <c r="R25" s="10">
        <f t="shared" ref="R25" si="438">R24-Q24</f>
        <v>1156.4382775840786</v>
      </c>
      <c r="S25" s="10">
        <f t="shared" ref="S25" si="439">S24-R24</f>
        <v>1173.7848517478415</v>
      </c>
      <c r="T25" s="10">
        <f t="shared" ref="T25" si="440">T24-S24</f>
        <v>1191.3916245240689</v>
      </c>
      <c r="U25" s="10">
        <f t="shared" ref="U25" si="441">U24-T24</f>
        <v>1209.262498891927</v>
      </c>
      <c r="V25" s="10">
        <f t="shared" ref="V25" si="442">V24-U24</f>
        <v>1227.4014363753085</v>
      </c>
      <c r="W25" s="10">
        <f t="shared" ref="W25" si="443">W24-V24</f>
        <v>1245.8124579209398</v>
      </c>
      <c r="X25" s="10">
        <f t="shared" ref="X25" si="444">X24-W24</f>
        <v>1264.4996447897429</v>
      </c>
      <c r="Y25" s="10">
        <f t="shared" ref="Y25" si="445">Y24-X24</f>
        <v>1283.4671394615871</v>
      </c>
      <c r="Z25" s="10">
        <f t="shared" ref="Z25" si="446">Z24-Y24</f>
        <v>1302.7191465535143</v>
      </c>
      <c r="AA25" s="10">
        <f t="shared" ref="AA25" si="447">AA24-Z24</f>
        <v>1322.2599337518186</v>
      </c>
      <c r="AB25" s="10">
        <f t="shared" ref="AB25" si="448">AB24-AA24</f>
        <v>1342.0938327580952</v>
      </c>
      <c r="AC25" s="10">
        <f t="shared" ref="AC25" si="449">AC24-AB24</f>
        <v>1362.2252402494632</v>
      </c>
      <c r="AD25" s="10">
        <f t="shared" ref="AD25" si="450">AD24-AC24</f>
        <v>1382.6586188532092</v>
      </c>
      <c r="AE25" s="10">
        <f t="shared" ref="AE25" si="451">AE24-AD24</f>
        <v>1403.3984981360118</v>
      </c>
      <c r="AF25" s="12">
        <f t="shared" ref="AF25" si="452">AVERAGE(B25:AE25)</f>
        <v>1140.3115951422667</v>
      </c>
      <c r="AG25" s="9"/>
      <c r="AH25" s="8">
        <f t="shared" si="164"/>
        <v>21232.601901549006</v>
      </c>
      <c r="AI25" s="8"/>
      <c r="AJ25" s="8"/>
    </row>
    <row r="26" spans="1:36" x14ac:dyDescent="0.25">
      <c r="A26" s="10">
        <f t="shared" ref="A26" si="453">AE24</f>
        <v>94963.298373870464</v>
      </c>
      <c r="B26" s="10">
        <f t="shared" si="390"/>
        <v>96387.747849478517</v>
      </c>
      <c r="C26" s="10">
        <f t="shared" ref="C26" si="454">B26*$J$4</f>
        <v>97833.564067220679</v>
      </c>
      <c r="D26" s="10">
        <f t="shared" ref="D26" si="455">C26*$J$4</f>
        <v>99301.067528228974</v>
      </c>
      <c r="E26" s="10">
        <f t="shared" ref="E26" si="456">D26*$J$4</f>
        <v>100790.5835411524</v>
      </c>
      <c r="F26" s="10">
        <f t="shared" ref="F26" si="457">E26*$J$4</f>
        <v>102302.44229426968</v>
      </c>
      <c r="G26" s="10">
        <f t="shared" ref="G26" si="458">F26*$J$4</f>
        <v>103836.97892868372</v>
      </c>
      <c r="H26" s="10">
        <f t="shared" ref="H26" si="459">G26*$J$4</f>
        <v>105394.53361261396</v>
      </c>
      <c r="I26" s="10">
        <f t="shared" ref="I26" si="460">H26*$J$4</f>
        <v>106975.45161680316</v>
      </c>
      <c r="J26" s="10">
        <f t="shared" ref="J26" si="461">I26*$J$4</f>
        <v>108580.08339105519</v>
      </c>
      <c r="K26" s="10">
        <f t="shared" ref="K26" si="462">J26*$J$4</f>
        <v>110208.78464192101</v>
      </c>
      <c r="L26" s="10">
        <f t="shared" ref="L26" si="463">K26*$J$4</f>
        <v>111861.91641154981</v>
      </c>
      <c r="M26" s="10">
        <f t="shared" ref="M26" si="464">L26*$J$4</f>
        <v>113539.84515772304</v>
      </c>
      <c r="N26" s="10">
        <f t="shared" ref="N26" si="465">M26*$J$4</f>
        <v>115242.94283508888</v>
      </c>
      <c r="O26" s="10">
        <f t="shared" ref="O26" si="466">N26*$J$4</f>
        <v>116971.5869776152</v>
      </c>
      <c r="P26" s="10">
        <f t="shared" ref="P26" si="467">O26*$J$4</f>
        <v>118726.16078227942</v>
      </c>
      <c r="Q26" s="10">
        <f t="shared" ref="Q26" si="468">P26*$J$4</f>
        <v>120507.0531940136</v>
      </c>
      <c r="R26" s="10">
        <f t="shared" ref="R26" si="469">Q26*$J$4</f>
        <v>122314.65899192379</v>
      </c>
      <c r="S26" s="10">
        <f t="shared" ref="S26" si="470">R26*$J$4</f>
        <v>124149.37887680263</v>
      </c>
      <c r="T26" s="10">
        <f t="shared" ref="T26" si="471">S26*$J$4</f>
        <v>126011.61955995465</v>
      </c>
      <c r="U26" s="10">
        <f t="shared" ref="U26" si="472">T26*$J$4</f>
        <v>127901.79385335396</v>
      </c>
      <c r="V26" s="10">
        <f t="shared" ref="V26" si="473">U26*$J$4</f>
        <v>129820.32076115426</v>
      </c>
      <c r="W26" s="10">
        <f t="shared" ref="W26" si="474">V26*$J$4</f>
        <v>131767.62557257156</v>
      </c>
      <c r="X26" s="10">
        <f t="shared" ref="X26" si="475">W26*$J$4</f>
        <v>133744.13995616013</v>
      </c>
      <c r="Y26" s="10">
        <f t="shared" ref="Y26" si="476">X26*$J$4</f>
        <v>135750.30205550251</v>
      </c>
      <c r="Z26" s="10">
        <f t="shared" ref="Z26" si="477">Y26*$J$4</f>
        <v>137786.55658633503</v>
      </c>
      <c r="AA26" s="10">
        <f t="shared" ref="AA26" si="478">Z26*$J$4</f>
        <v>139853.35493513005</v>
      </c>
      <c r="AB26" s="10">
        <f t="shared" ref="AB26" si="479">AA26*$J$4</f>
        <v>141951.15525915698</v>
      </c>
      <c r="AC26" s="10">
        <f t="shared" ref="AC26" si="480">AB26*$J$4</f>
        <v>144080.42258804431</v>
      </c>
      <c r="AD26" s="10">
        <f t="shared" ref="AD26" si="481">AC26*$J$4</f>
        <v>146241.62892686497</v>
      </c>
      <c r="AE26" s="10">
        <f t="shared" ref="AE26" si="482">AD26*$J$4</f>
        <v>148435.25336076794</v>
      </c>
      <c r="AF26" s="11">
        <f t="shared" ref="AF26" si="483">AE26-A26</f>
        <v>53471.954986897472</v>
      </c>
      <c r="AG26" s="9"/>
      <c r="AH26" s="8">
        <f t="shared" ref="AH26:AH30" si="484">18.62*AF26</f>
        <v>995647.80185603094</v>
      </c>
      <c r="AI26" s="8" t="s">
        <v>21</v>
      </c>
      <c r="AJ26" s="8">
        <f t="shared" ref="AJ26" si="485">18.6*AE26</f>
        <v>2760895.712510284</v>
      </c>
    </row>
    <row r="27" spans="1:36" x14ac:dyDescent="0.25">
      <c r="A27" s="10"/>
      <c r="B27" s="10">
        <f t="shared" ref="B27" si="486">B26-A26</f>
        <v>1424.449475608053</v>
      </c>
      <c r="C27" s="10">
        <f t="shared" ref="C27" si="487">C26-B26</f>
        <v>1445.8162177421618</v>
      </c>
      <c r="D27" s="10">
        <f t="shared" ref="D27" si="488">D26-C26</f>
        <v>1467.5034610082948</v>
      </c>
      <c r="E27" s="10">
        <f t="shared" ref="E27" si="489">E26-D26</f>
        <v>1489.5160129234282</v>
      </c>
      <c r="F27" s="10">
        <f t="shared" ref="F27" si="490">F26-E26</f>
        <v>1511.8587531172816</v>
      </c>
      <c r="G27" s="10">
        <f t="shared" ref="G27" si="491">G26-F26</f>
        <v>1534.5366344140348</v>
      </c>
      <c r="H27" s="10">
        <f t="shared" ref="H27" si="492">H26-G26</f>
        <v>1557.5546839302406</v>
      </c>
      <c r="I27" s="10">
        <f t="shared" ref="I27" si="493">I26-H26</f>
        <v>1580.9180041891959</v>
      </c>
      <c r="J27" s="10">
        <f t="shared" ref="J27" si="494">J26-I26</f>
        <v>1604.6317742520332</v>
      </c>
      <c r="K27" s="10">
        <f t="shared" ref="K27" si="495">K26-J26</f>
        <v>1628.7012508658227</v>
      </c>
      <c r="L27" s="10">
        <f t="shared" ref="L27" si="496">L26-K26</f>
        <v>1653.1317696288024</v>
      </c>
      <c r="M27" s="10">
        <f t="shared" ref="M27" si="497">M26-L26</f>
        <v>1677.928746173231</v>
      </c>
      <c r="N27" s="10">
        <f t="shared" ref="N27" si="498">N26-M26</f>
        <v>1703.0976773658331</v>
      </c>
      <c r="O27" s="10">
        <f t="shared" ref="O27" si="499">O26-N26</f>
        <v>1728.6441425263183</v>
      </c>
      <c r="P27" s="10">
        <f t="shared" ref="P27" si="500">P26-O26</f>
        <v>1754.5738046642218</v>
      </c>
      <c r="Q27" s="10">
        <f t="shared" ref="Q27" si="501">Q26-P26</f>
        <v>1780.8924117341812</v>
      </c>
      <c r="R27" s="10">
        <f t="shared" ref="R27" si="502">R26-Q26</f>
        <v>1807.6057979101897</v>
      </c>
      <c r="S27" s="10">
        <f t="shared" ref="S27" si="503">S26-R26</f>
        <v>1834.7198848788394</v>
      </c>
      <c r="T27" s="10">
        <f t="shared" ref="T27" si="504">T26-S26</f>
        <v>1862.2406831520202</v>
      </c>
      <c r="U27" s="10">
        <f t="shared" ref="U27" si="505">U26-T26</f>
        <v>1890.1742933993082</v>
      </c>
      <c r="V27" s="10">
        <f t="shared" ref="V27" si="506">V26-U26</f>
        <v>1918.5269078003039</v>
      </c>
      <c r="W27" s="10">
        <f t="shared" ref="W27" si="507">W26-V26</f>
        <v>1947.3048114172998</v>
      </c>
      <c r="X27" s="10">
        <f t="shared" ref="X27" si="508">X26-W26</f>
        <v>1976.5143835885683</v>
      </c>
      <c r="Y27" s="10">
        <f t="shared" ref="Y27" si="509">Y26-X26</f>
        <v>2006.1620993423858</v>
      </c>
      <c r="Z27" s="10">
        <f t="shared" ref="Z27" si="510">Z26-Y26</f>
        <v>2036.2545308325207</v>
      </c>
      <c r="AA27" s="10">
        <f t="shared" ref="AA27" si="511">AA26-Z26</f>
        <v>2066.7983487950114</v>
      </c>
      <c r="AB27" s="10">
        <f t="shared" ref="AB27" si="512">AB26-AA26</f>
        <v>2097.8003240269318</v>
      </c>
      <c r="AC27" s="10">
        <f t="shared" ref="AC27" si="513">AC26-AB26</f>
        <v>2129.2673288873339</v>
      </c>
      <c r="AD27" s="10">
        <f t="shared" ref="AD27" si="514">AD26-AC26</f>
        <v>2161.2063388206589</v>
      </c>
      <c r="AE27" s="10">
        <f t="shared" ref="AE27" si="515">AE26-AD26</f>
        <v>2193.6244339029654</v>
      </c>
      <c r="AF27" s="12">
        <f t="shared" ref="AF27" si="516">AVERAGE(B27:AE27)</f>
        <v>1782.3984995632491</v>
      </c>
      <c r="AG27" s="9"/>
      <c r="AH27" s="8">
        <f t="shared" si="484"/>
        <v>33188.260061867702</v>
      </c>
      <c r="AI27" s="8"/>
      <c r="AJ27" s="8"/>
    </row>
    <row r="28" spans="1:36" x14ac:dyDescent="0.25">
      <c r="A28" s="10">
        <f t="shared" ref="A28" si="517">AE26</f>
        <v>148435.25336076794</v>
      </c>
      <c r="B28" s="10">
        <f t="shared" si="390"/>
        <v>150661.78216117944</v>
      </c>
      <c r="C28" s="10">
        <f t="shared" ref="C28" si="518">B28*$J$4</f>
        <v>152921.70889359713</v>
      </c>
      <c r="D28" s="10">
        <f t="shared" ref="D28" si="519">C28*$J$4</f>
        <v>155215.53452700106</v>
      </c>
      <c r="E28" s="10">
        <f t="shared" ref="E28" si="520">D28*$J$4</f>
        <v>157543.76754490606</v>
      </c>
      <c r="F28" s="10">
        <f t="shared" ref="F28" si="521">E28*$J$4</f>
        <v>159906.92405807963</v>
      </c>
      <c r="G28" s="10">
        <f t="shared" ref="G28" si="522">F28*$J$4</f>
        <v>162305.5279189508</v>
      </c>
      <c r="H28" s="10">
        <f t="shared" ref="H28" si="523">G28*$J$4</f>
        <v>164740.11083773503</v>
      </c>
      <c r="I28" s="10">
        <f t="shared" ref="I28" si="524">H28*$J$4</f>
        <v>167211.21250030104</v>
      </c>
      <c r="J28" s="10">
        <f t="shared" ref="J28" si="525">I28*$J$4</f>
        <v>169719.38068780553</v>
      </c>
      <c r="K28" s="10">
        <f t="shared" ref="K28" si="526">J28*$J$4</f>
        <v>172265.17139812259</v>
      </c>
      <c r="L28" s="10">
        <f t="shared" ref="L28" si="527">K28*$J$4</f>
        <v>174849.14896909441</v>
      </c>
      <c r="M28" s="10">
        <f t="shared" ref="M28" si="528">L28*$J$4</f>
        <v>177471.88620363083</v>
      </c>
      <c r="N28" s="10">
        <f t="shared" ref="N28" si="529">M28*$J$4</f>
        <v>180133.96449668528</v>
      </c>
      <c r="O28" s="10">
        <f t="shared" ref="O28" si="530">N28*$J$4</f>
        <v>182835.97396413554</v>
      </c>
      <c r="P28" s="10">
        <f t="shared" ref="P28" si="531">O28*$J$4</f>
        <v>185578.51357359756</v>
      </c>
      <c r="Q28" s="10">
        <f t="shared" ref="Q28" si="532">P28*$J$4</f>
        <v>188362.19127720152</v>
      </c>
      <c r="R28" s="10">
        <f t="shared" ref="R28" si="533">Q28*$J$4</f>
        <v>191187.62414635954</v>
      </c>
      <c r="S28" s="10">
        <f t="shared" ref="S28" si="534">R28*$J$4</f>
        <v>194055.43850855491</v>
      </c>
      <c r="T28" s="10">
        <f t="shared" ref="T28" si="535">S28*$J$4</f>
        <v>196966.27008618321</v>
      </c>
      <c r="U28" s="10">
        <f t="shared" ref="U28" si="536">T28*$J$4</f>
        <v>199920.76413747596</v>
      </c>
      <c r="V28" s="10">
        <f t="shared" ref="V28" si="537">U28*$J$4</f>
        <v>202919.57559953808</v>
      </c>
      <c r="W28" s="10">
        <f t="shared" ref="W28" si="538">V28*$J$4</f>
        <v>205963.36923353112</v>
      </c>
      <c r="X28" s="10">
        <f t="shared" ref="X28" si="539">W28*$J$4</f>
        <v>209052.81977203407</v>
      </c>
      <c r="Y28" s="10">
        <f t="shared" ref="Y28" si="540">X28*$J$4</f>
        <v>212188.61206861457</v>
      </c>
      <c r="Z28" s="10">
        <f t="shared" ref="Z28" si="541">Y28*$J$4</f>
        <v>215371.44124964377</v>
      </c>
      <c r="AA28" s="10">
        <f t="shared" ref="AA28" si="542">Z28*$J$4</f>
        <v>218602.01286838841</v>
      </c>
      <c r="AB28" s="10">
        <f t="shared" ref="AB28" si="543">AA28*$J$4</f>
        <v>221881.04306141421</v>
      </c>
      <c r="AC28" s="10">
        <f t="shared" ref="AC28" si="544">AB28*$J$4</f>
        <v>225209.25870733539</v>
      </c>
      <c r="AD28" s="10">
        <f t="shared" ref="AD28" si="545">AC28*$J$4</f>
        <v>228587.39758794539</v>
      </c>
      <c r="AE28" s="10">
        <f t="shared" ref="AE28" si="546">AD28*$J$4</f>
        <v>232016.20855176455</v>
      </c>
      <c r="AF28" s="11">
        <f t="shared" ref="AF28" si="547">AE28-A28</f>
        <v>83580.95519099661</v>
      </c>
      <c r="AG28" s="9"/>
      <c r="AH28" s="8">
        <f t="shared" si="484"/>
        <v>1556277.385656357</v>
      </c>
      <c r="AI28" s="8" t="s">
        <v>22</v>
      </c>
      <c r="AJ28" s="8">
        <f t="shared" ref="AJ28" si="548">18.6*AE28</f>
        <v>4315501.4790628208</v>
      </c>
    </row>
    <row r="29" spans="1:36" x14ac:dyDescent="0.25">
      <c r="A29" s="10"/>
      <c r="B29" s="10">
        <f t="shared" ref="B29" si="549">B28-A28</f>
        <v>2226.5288004114991</v>
      </c>
      <c r="C29" s="10">
        <f t="shared" ref="C29" si="550">C28-B28</f>
        <v>2259.9267324176908</v>
      </c>
      <c r="D29" s="10">
        <f t="shared" ref="D29" si="551">D28-C28</f>
        <v>2293.8256334039324</v>
      </c>
      <c r="E29" s="10">
        <f t="shared" ref="E29" si="552">E28-D28</f>
        <v>2328.2330179050041</v>
      </c>
      <c r="F29" s="10">
        <f t="shared" ref="F29" si="553">F28-E28</f>
        <v>2363.1565131735697</v>
      </c>
      <c r="G29" s="10">
        <f t="shared" ref="G29" si="554">G28-F28</f>
        <v>2398.6038608711679</v>
      </c>
      <c r="H29" s="10">
        <f t="shared" ref="H29" si="555">H28-G28</f>
        <v>2434.5829187842319</v>
      </c>
      <c r="I29" s="10">
        <f t="shared" ref="I29" si="556">I28-H28</f>
        <v>2471.1016625660122</v>
      </c>
      <c r="J29" s="10">
        <f t="shared" ref="J29" si="557">J28-I28</f>
        <v>2508.1681875044887</v>
      </c>
      <c r="K29" s="10">
        <f t="shared" ref="K29" si="558">K28-J28</f>
        <v>2545.7907103170583</v>
      </c>
      <c r="L29" s="10">
        <f t="shared" ref="L29" si="559">L28-K28</f>
        <v>2583.9775709718233</v>
      </c>
      <c r="M29" s="10">
        <f t="shared" ref="M29" si="560">M28-L28</f>
        <v>2622.7372345364129</v>
      </c>
      <c r="N29" s="10">
        <f t="shared" ref="N29" si="561">N28-M28</f>
        <v>2662.0782930544519</v>
      </c>
      <c r="O29" s="10">
        <f t="shared" ref="O29" si="562">O28-N28</f>
        <v>2702.0094674502616</v>
      </c>
      <c r="P29" s="10">
        <f t="shared" ref="P29" si="563">P28-O28</f>
        <v>2742.5396094620228</v>
      </c>
      <c r="Q29" s="10">
        <f t="shared" ref="Q29" si="564">Q28-P28</f>
        <v>2783.6777036039566</v>
      </c>
      <c r="R29" s="10">
        <f t="shared" ref="R29" si="565">R28-Q28</f>
        <v>2825.4328691580158</v>
      </c>
      <c r="S29" s="10">
        <f t="shared" ref="S29" si="566">S28-R28</f>
        <v>2867.8143621953786</v>
      </c>
      <c r="T29" s="10">
        <f t="shared" ref="T29" si="567">T28-S28</f>
        <v>2910.831577628298</v>
      </c>
      <c r="U29" s="10">
        <f t="shared" ref="U29" si="568">U28-T28</f>
        <v>2954.4940512927424</v>
      </c>
      <c r="V29" s="10">
        <f t="shared" ref="V29" si="569">V28-U28</f>
        <v>2998.81146206212</v>
      </c>
      <c r="W29" s="10">
        <f t="shared" ref="W29" si="570">W28-V28</f>
        <v>3043.7936339930457</v>
      </c>
      <c r="X29" s="10">
        <f t="shared" ref="X29" si="571">X28-W28</f>
        <v>3089.4505385029479</v>
      </c>
      <c r="Y29" s="10">
        <f t="shared" ref="Y29" si="572">Y28-X28</f>
        <v>3135.7922965805046</v>
      </c>
      <c r="Z29" s="10">
        <f t="shared" ref="Z29" si="573">Z28-Y28</f>
        <v>3182.8291810291994</v>
      </c>
      <c r="AA29" s="10">
        <f t="shared" ref="AA29" si="574">AA28-Z28</f>
        <v>3230.5716187446378</v>
      </c>
      <c r="AB29" s="10">
        <f t="shared" ref="AB29" si="575">AB28-AA28</f>
        <v>3279.0301930257992</v>
      </c>
      <c r="AC29" s="10">
        <f t="shared" ref="AC29" si="576">AC28-AB28</f>
        <v>3328.2156459211838</v>
      </c>
      <c r="AD29" s="10">
        <f t="shared" ref="AD29" si="577">AD28-AC28</f>
        <v>3378.1388806100003</v>
      </c>
      <c r="AE29" s="10">
        <f t="shared" ref="AE29" si="578">AE28-AD28</f>
        <v>3428.8109638191527</v>
      </c>
      <c r="AF29" s="12">
        <f t="shared" ref="AF29" si="579">AVERAGE(B29:AE29)</f>
        <v>2786.0318396998869</v>
      </c>
      <c r="AG29" s="9"/>
      <c r="AH29" s="8">
        <f t="shared" si="484"/>
        <v>51875.912855211893</v>
      </c>
      <c r="AI29" s="8"/>
      <c r="AJ29" s="8"/>
    </row>
    <row r="30" spans="1:36" x14ac:dyDescent="0.25">
      <c r="A30" s="10">
        <f t="shared" ref="A30" si="580">AE28</f>
        <v>232016.20855176455</v>
      </c>
      <c r="B30" s="10">
        <f t="shared" si="390"/>
        <v>235496.45168004101</v>
      </c>
      <c r="C30" s="10">
        <f t="shared" ref="C30" si="581">B30*$J$4</f>
        <v>239028.89845524161</v>
      </c>
      <c r="D30" s="10">
        <f t="shared" ref="D30" si="582">C30*$J$4</f>
        <v>242614.3319320702</v>
      </c>
      <c r="E30" s="10">
        <f t="shared" ref="E30" si="583">D30*$J$4</f>
        <v>246253.54691105123</v>
      </c>
      <c r="F30" s="10">
        <f t="shared" ref="F30" si="584">E30*$J$4</f>
        <v>249947.35011471697</v>
      </c>
      <c r="G30" s="10">
        <f t="shared" ref="G30" si="585">F30*$J$4</f>
        <v>253696.56036643771</v>
      </c>
      <c r="H30" s="10">
        <f t="shared" ref="H30" si="586">G30*$J$4</f>
        <v>257502.00877193426</v>
      </c>
      <c r="I30" s="10">
        <f t="shared" ref="I30" si="587">H30*$J$4</f>
        <v>261364.53890351325</v>
      </c>
      <c r="J30" s="10">
        <f t="shared" ref="J30" si="588">I30*$J$4</f>
        <v>265285.00698706595</v>
      </c>
      <c r="K30" s="10">
        <f t="shared" ref="K30" si="589">J30*$J$4</f>
        <v>269264.28209187189</v>
      </c>
      <c r="L30" s="10">
        <f t="shared" ref="L30" si="590">K30*$J$4</f>
        <v>273303.24632324994</v>
      </c>
      <c r="M30" s="10">
        <f t="shared" ref="M30" si="591">L30*$J$4</f>
        <v>277402.79501809867</v>
      </c>
      <c r="N30" s="10">
        <f t="shared" ref="N30" si="592">M30*$J$4</f>
        <v>281563.83694337012</v>
      </c>
      <c r="O30" s="10">
        <f t="shared" ref="O30" si="593">N30*$J$4</f>
        <v>285787.29449752066</v>
      </c>
      <c r="P30" s="10">
        <f t="shared" ref="P30" si="594">O30*$J$4</f>
        <v>290074.10391498345</v>
      </c>
      <c r="Q30" s="10">
        <f t="shared" ref="Q30" si="595">P30*$J$4</f>
        <v>294425.21547370817</v>
      </c>
      <c r="R30" s="10">
        <f t="shared" ref="R30" si="596">Q30*$J$4</f>
        <v>298841.59370581375</v>
      </c>
      <c r="S30" s="10">
        <f t="shared" ref="S30" si="597">R30*$J$4</f>
        <v>303324.21761140093</v>
      </c>
      <c r="T30" s="10">
        <f t="shared" ref="T30" si="598">S30*$J$4</f>
        <v>307874.08087557193</v>
      </c>
      <c r="U30" s="10">
        <f t="shared" ref="U30" si="599">T30*$J$4</f>
        <v>312492.19208870549</v>
      </c>
      <c r="V30" s="10">
        <f t="shared" ref="V30" si="600">U30*$J$4</f>
        <v>317179.57497003605</v>
      </c>
      <c r="W30" s="10">
        <f t="shared" ref="W30" si="601">V30*$J$4</f>
        <v>321937.26859458658</v>
      </c>
      <c r="X30" s="10">
        <f t="shared" ref="X30" si="602">W30*$J$4</f>
        <v>326766.32762350532</v>
      </c>
      <c r="Y30" s="10">
        <f t="shared" ref="Y30" si="603">X30*$J$4</f>
        <v>331667.82253785786</v>
      </c>
      <c r="Z30" s="10">
        <f t="shared" ref="Z30" si="604">Y30*$J$4</f>
        <v>336642.83987592568</v>
      </c>
      <c r="AA30" s="10">
        <f t="shared" ref="AA30" si="605">Z30*$J$4</f>
        <v>341692.48247406451</v>
      </c>
      <c r="AB30" s="10">
        <f t="shared" ref="AB30" si="606">AA30*$J$4</f>
        <v>346817.86971117544</v>
      </c>
      <c r="AC30" s="10">
        <f t="shared" ref="AC30" si="607">AB30*$J$4</f>
        <v>352020.13775684306</v>
      </c>
      <c r="AD30" s="10">
        <f t="shared" ref="AD30" si="608">AC30*$J$4</f>
        <v>357300.43982319569</v>
      </c>
      <c r="AE30" s="10">
        <f t="shared" ref="AE30" si="609">AD30*$J$4</f>
        <v>362659.94642054359</v>
      </c>
      <c r="AF30" s="11">
        <f t="shared" ref="AF30" si="610">AE30-A30</f>
        <v>130643.73786877905</v>
      </c>
      <c r="AG30" s="9" t="s">
        <v>24</v>
      </c>
      <c r="AH30" s="8">
        <f t="shared" si="484"/>
        <v>2432586.3991166661</v>
      </c>
      <c r="AI30" s="8" t="s">
        <v>23</v>
      </c>
      <c r="AJ30" s="8">
        <f t="shared" ref="AJ30" si="611">18.6*AE30</f>
        <v>6745475.0034221113</v>
      </c>
    </row>
    <row r="31" spans="1:3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2"/>
      <c r="AG31" s="14">
        <f>(AE30-A8)/A8</f>
        <v>211.70378089181443</v>
      </c>
      <c r="AH31" s="8"/>
      <c r="AI31" s="8"/>
      <c r="AJ31" s="8"/>
    </row>
    <row r="32" spans="1:36" x14ac:dyDescent="0.25">
      <c r="A32" s="10">
        <f>AE30</f>
        <v>362659.94642054359</v>
      </c>
      <c r="B32" s="10">
        <f t="shared" ref="B32" si="612">A32*$J$4</f>
        <v>368099.8456168517</v>
      </c>
      <c r="C32" s="10">
        <f t="shared" ref="C32" si="613">B32*$J$4</f>
        <v>373621.34330110444</v>
      </c>
      <c r="D32" s="10">
        <f t="shared" ref="D32" si="614">C32*$J$4</f>
        <v>379225.66345062095</v>
      </c>
      <c r="E32" s="10">
        <f t="shared" ref="E32" si="615">D32*$J$4</f>
        <v>384914.04840238026</v>
      </c>
      <c r="F32" s="10">
        <f t="shared" ref="F32" si="616">E32*$J$4</f>
        <v>390687.7591284159</v>
      </c>
      <c r="G32" s="10">
        <f t="shared" ref="G32" si="617">F32*$J$4</f>
        <v>396548.07551534212</v>
      </c>
      <c r="H32" s="10">
        <f t="shared" ref="H32" si="618">G32*$J$4</f>
        <v>402496.2966480722</v>
      </c>
      <c r="I32" s="10">
        <f t="shared" ref="I32" si="619">H32*$J$4</f>
        <v>408533.74109779322</v>
      </c>
      <c r="J32" s="10">
        <f t="shared" ref="J32" si="620">I32*$J$4</f>
        <v>414661.74721426005</v>
      </c>
      <c r="K32" s="10">
        <f t="shared" ref="K32" si="621">J32*$J$4</f>
        <v>420881.67342247389</v>
      </c>
      <c r="L32" s="10">
        <f t="shared" ref="L32" si="622">K32*$J$4</f>
        <v>427194.89852381096</v>
      </c>
      <c r="M32" s="10">
        <f t="shared" ref="M32" si="623">L32*$J$4</f>
        <v>433602.8220016681</v>
      </c>
      <c r="N32" s="10">
        <f t="shared" ref="N32" si="624">M32*$J$4</f>
        <v>440106.8643316931</v>
      </c>
      <c r="O32" s="10">
        <f t="shared" ref="O32" si="625">N32*$J$4</f>
        <v>446708.46729666844</v>
      </c>
      <c r="P32" s="10">
        <f t="shared" ref="P32" si="626">O32*$J$4</f>
        <v>453409.09430611844</v>
      </c>
      <c r="Q32" s="10">
        <f t="shared" ref="Q32" si="627">P32*$J$4</f>
        <v>460210.23072071018</v>
      </c>
      <c r="R32" s="10">
        <f t="shared" ref="R32" si="628">Q32*$J$4</f>
        <v>467113.38418152079</v>
      </c>
      <c r="S32" s="10">
        <f t="shared" ref="S32" si="629">R32*$J$4</f>
        <v>474120.08494424354</v>
      </c>
      <c r="T32" s="10">
        <f t="shared" ref="T32" si="630">S32*$J$4</f>
        <v>481231.88621840713</v>
      </c>
      <c r="U32" s="10">
        <f t="shared" ref="U32" si="631">T32*$J$4</f>
        <v>488450.36451168318</v>
      </c>
      <c r="V32" s="10">
        <f t="shared" ref="V32" si="632">U32*$J$4</f>
        <v>495777.11997935839</v>
      </c>
      <c r="W32" s="10">
        <f t="shared" ref="W32" si="633">V32*$J$4</f>
        <v>503213.77677904873</v>
      </c>
      <c r="X32" s="10">
        <f t="shared" ref="X32" si="634">W32*$J$4</f>
        <v>510761.98343073443</v>
      </c>
      <c r="Y32" s="10">
        <f t="shared" ref="Y32" si="635">X32*$J$4</f>
        <v>518423.41318219539</v>
      </c>
      <c r="Z32" s="10">
        <f t="shared" ref="Z32" si="636">Y32*$J$4</f>
        <v>526199.76437992824</v>
      </c>
      <c r="AA32" s="10">
        <f t="shared" ref="AA32" si="637">Z32*$J$4</f>
        <v>534092.76084562705</v>
      </c>
      <c r="AB32" s="10">
        <f t="shared" ref="AB32" si="638">AA32*$J$4</f>
        <v>542104.1522583114</v>
      </c>
      <c r="AC32" s="10">
        <f t="shared" ref="AC32" si="639">AB32*$J$4</f>
        <v>550235.714542186</v>
      </c>
      <c r="AD32" s="10">
        <f t="shared" ref="AD32" si="640">AC32*$J$4</f>
        <v>558489.25026031875</v>
      </c>
      <c r="AE32" s="10">
        <f t="shared" ref="AE32" si="641">AD32*$J$4</f>
        <v>566866.58901422343</v>
      </c>
      <c r="AF32" s="11">
        <f>AE32-A32</f>
        <v>204206.64259367983</v>
      </c>
      <c r="AG32" s="14">
        <f>AF32/A32</f>
        <v>0.56308022049085082</v>
      </c>
      <c r="AH32" s="8">
        <f>18.62*AF32</f>
        <v>3802327.6850943188</v>
      </c>
      <c r="AI32" s="8" t="s">
        <v>12</v>
      </c>
      <c r="AJ32" s="8">
        <f>18.6*AE32</f>
        <v>10543718.555664556</v>
      </c>
    </row>
    <row r="33" spans="1:36" x14ac:dyDescent="0.25">
      <c r="A33" s="10"/>
      <c r="B33" s="10">
        <f>B32-A32</f>
        <v>5439.8991963081062</v>
      </c>
      <c r="C33" s="10">
        <f t="shared" ref="C33" si="642">C32-B32</f>
        <v>5521.4976842527394</v>
      </c>
      <c r="D33" s="10">
        <f t="shared" ref="D33" si="643">D32-C32</f>
        <v>5604.3201495165122</v>
      </c>
      <c r="E33" s="10">
        <f t="shared" ref="E33" si="644">E32-D32</f>
        <v>5688.3849517593044</v>
      </c>
      <c r="F33" s="10">
        <f t="shared" ref="F33" si="645">F32-E32</f>
        <v>5773.7107260356424</v>
      </c>
      <c r="G33" s="10">
        <f t="shared" ref="G33" si="646">G32-F32</f>
        <v>5860.3163869262207</v>
      </c>
      <c r="H33" s="10">
        <f t="shared" ref="H33" si="647">H32-G32</f>
        <v>5948.2211327300756</v>
      </c>
      <c r="I33" s="10">
        <f t="shared" ref="I33" si="648">I32-H32</f>
        <v>6037.4444497210206</v>
      </c>
      <c r="J33" s="10">
        <f t="shared" ref="J33" si="649">J32-I32</f>
        <v>6128.0061164668296</v>
      </c>
      <c r="K33" s="10">
        <f t="shared" ref="K33" si="650">K32-J32</f>
        <v>6219.9262082138448</v>
      </c>
      <c r="L33" s="10">
        <f t="shared" ref="L33" si="651">L32-K32</f>
        <v>6313.2251013370696</v>
      </c>
      <c r="M33" s="10">
        <f t="shared" ref="M33" si="652">M32-L32</f>
        <v>6407.9234778571408</v>
      </c>
      <c r="N33" s="10">
        <f t="shared" ref="N33" si="653">N32-M32</f>
        <v>6504.0423300249968</v>
      </c>
      <c r="O33" s="10">
        <f t="shared" ref="O33" si="654">O32-N32</f>
        <v>6601.6029649753473</v>
      </c>
      <c r="P33" s="10">
        <f t="shared" ref="P33" si="655">P32-O32</f>
        <v>6700.6270094499923</v>
      </c>
      <c r="Q33" s="10">
        <f t="shared" ref="Q33" si="656">Q32-P32</f>
        <v>6801.1364145917469</v>
      </c>
      <c r="R33" s="10">
        <f t="shared" ref="R33" si="657">R32-Q32</f>
        <v>6903.1534608106012</v>
      </c>
      <c r="S33" s="10">
        <f t="shared" ref="S33" si="658">S32-R32</f>
        <v>7006.7007627227576</v>
      </c>
      <c r="T33" s="10">
        <f t="shared" ref="T33" si="659">T32-S32</f>
        <v>7111.8012741635903</v>
      </c>
      <c r="U33" s="10">
        <f t="shared" ref="U33" si="660">U32-T32</f>
        <v>7218.4782932760427</v>
      </c>
      <c r="V33" s="10">
        <f t="shared" ref="V33" si="661">V32-U32</f>
        <v>7326.7554676752188</v>
      </c>
      <c r="W33" s="10">
        <f t="shared" ref="W33" si="662">W32-V32</f>
        <v>7436.6567996903323</v>
      </c>
      <c r="X33" s="10">
        <f t="shared" ref="X33" si="663">X32-W32</f>
        <v>7548.2066516857012</v>
      </c>
      <c r="Y33" s="10">
        <f t="shared" ref="Y33" si="664">Y32-X32</f>
        <v>7661.4297514609643</v>
      </c>
      <c r="Z33" s="10">
        <f t="shared" ref="Z33" si="665">Z32-Y32</f>
        <v>7776.3511977328453</v>
      </c>
      <c r="AA33" s="10">
        <f t="shared" ref="AA33" si="666">AA32-Z32</f>
        <v>7892.9964656988159</v>
      </c>
      <c r="AB33" s="10">
        <f t="shared" ref="AB33" si="667">AB32-AA32</f>
        <v>8011.3914126843447</v>
      </c>
      <c r="AC33" s="10">
        <f t="shared" ref="AC33" si="668">AC32-AB32</f>
        <v>8131.5622838746058</v>
      </c>
      <c r="AD33" s="10">
        <f t="shared" ref="AD33" si="669">AD32-AC32</f>
        <v>8253.5357181327417</v>
      </c>
      <c r="AE33" s="10">
        <f t="shared" ref="AE33" si="670">AE32-AD32</f>
        <v>8377.3387539046817</v>
      </c>
      <c r="AF33" s="12">
        <f>AVERAGE(B33:AE33)</f>
        <v>6806.8880864559942</v>
      </c>
      <c r="AG33" s="9"/>
      <c r="AH33" s="8">
        <f t="shared" ref="AH33:AH35" si="671">18.62*AF33</f>
        <v>126744.25616981061</v>
      </c>
      <c r="AI33" s="8"/>
      <c r="AJ33" s="8"/>
    </row>
    <row r="34" spans="1:36" x14ac:dyDescent="0.25">
      <c r="A34" s="10">
        <f>AE32</f>
        <v>566866.58901422343</v>
      </c>
      <c r="B34" s="10">
        <f>A34*$J$4</f>
        <v>575369.58784943668</v>
      </c>
      <c r="C34" s="10">
        <f t="shared" ref="C34" si="672">B34*$J$4</f>
        <v>584000.13166717812</v>
      </c>
      <c r="D34" s="10">
        <f t="shared" ref="D34" si="673">C34*$J$4</f>
        <v>592760.13364218571</v>
      </c>
      <c r="E34" s="10">
        <f t="shared" ref="E34" si="674">D34*$J$4</f>
        <v>601651.53564681846</v>
      </c>
      <c r="F34" s="10">
        <f t="shared" ref="F34" si="675">E34*$J$4</f>
        <v>610676.30868152063</v>
      </c>
      <c r="G34" s="10">
        <f t="shared" ref="G34" si="676">F34*$J$4</f>
        <v>619836.45331174333</v>
      </c>
      <c r="H34" s="10">
        <f t="shared" ref="H34" si="677">G34*$J$4</f>
        <v>629134.00011141947</v>
      </c>
      <c r="I34" s="10">
        <f t="shared" ref="I34" si="678">H34*$J$4</f>
        <v>638571.01011309074</v>
      </c>
      <c r="J34" s="10">
        <f t="shared" ref="J34" si="679">I34*$J$4</f>
        <v>648149.57526478707</v>
      </c>
      <c r="K34" s="10">
        <f t="shared" ref="K34" si="680">J34*$J$4</f>
        <v>657871.81889375881</v>
      </c>
      <c r="L34" s="10">
        <f t="shared" ref="L34" si="681">K34*$J$4</f>
        <v>667739.89617716509</v>
      </c>
      <c r="M34" s="10">
        <f t="shared" ref="M34" si="682">L34*$J$4</f>
        <v>677755.99461982248</v>
      </c>
      <c r="N34" s="10">
        <f t="shared" ref="N34" si="683">M34*$J$4</f>
        <v>687922.33453911974</v>
      </c>
      <c r="O34" s="10">
        <f t="shared" ref="O34" si="684">N34*$J$4</f>
        <v>698241.16955720645</v>
      </c>
      <c r="P34" s="10">
        <f t="shared" ref="P34" si="685">O34*$J$4</f>
        <v>708714.78710056446</v>
      </c>
      <c r="Q34" s="10">
        <f t="shared" ref="Q34" si="686">P34*$J$4</f>
        <v>719345.50890707283</v>
      </c>
      <c r="R34" s="10">
        <f t="shared" ref="R34" si="687">Q34*$J$4</f>
        <v>730135.69154067885</v>
      </c>
      <c r="S34" s="10">
        <f t="shared" ref="S34" si="688">R34*$J$4</f>
        <v>741087.72691378894</v>
      </c>
      <c r="T34" s="10">
        <f t="shared" ref="T34" si="689">S34*$J$4</f>
        <v>752204.04281749565</v>
      </c>
      <c r="U34" s="10">
        <f t="shared" ref="U34" si="690">T34*$J$4</f>
        <v>763487.10345975799</v>
      </c>
      <c r="V34" s="10">
        <f t="shared" ref="V34" si="691">U34*$J$4</f>
        <v>774939.41001165425</v>
      </c>
      <c r="W34" s="10">
        <f t="shared" ref="W34" si="692">V34*$J$4</f>
        <v>786563.50116182899</v>
      </c>
      <c r="X34" s="10">
        <f t="shared" ref="X34" si="693">W34*$J$4</f>
        <v>798361.95367925637</v>
      </c>
      <c r="Y34" s="10">
        <f t="shared" ref="Y34" si="694">X34*$J$4</f>
        <v>810337.3829844452</v>
      </c>
      <c r="Z34" s="10">
        <f t="shared" ref="Z34" si="695">Y34*$J$4</f>
        <v>822492.44372921181</v>
      </c>
      <c r="AA34" s="10">
        <f t="shared" ref="AA34" si="696">Z34*$J$4</f>
        <v>834829.83038514992</v>
      </c>
      <c r="AB34" s="10">
        <f t="shared" ref="AB34" si="697">AA34*$J$4</f>
        <v>847352.27784092713</v>
      </c>
      <c r="AC34" s="10">
        <f t="shared" ref="AC34" si="698">AB34*$J$4</f>
        <v>860062.56200854096</v>
      </c>
      <c r="AD34" s="10">
        <f t="shared" ref="AD34" si="699">AC34*$J$4</f>
        <v>872963.500438669</v>
      </c>
      <c r="AE34" s="10">
        <f t="shared" ref="AE34" si="700">AD34*$J$4</f>
        <v>886057.95294524892</v>
      </c>
      <c r="AF34" s="11">
        <f t="shared" ref="AF34" si="701">AE34-A34</f>
        <v>319191.36393102549</v>
      </c>
      <c r="AG34" s="9"/>
      <c r="AH34" s="8">
        <f t="shared" si="671"/>
        <v>5943343.1963956952</v>
      </c>
      <c r="AI34" s="8" t="s">
        <v>13</v>
      </c>
      <c r="AJ34" s="8">
        <f t="shared" ref="AJ34" si="702">18.6*AE34</f>
        <v>16480677.924781632</v>
      </c>
    </row>
    <row r="35" spans="1:36" x14ac:dyDescent="0.25">
      <c r="A35" s="10"/>
      <c r="B35" s="10">
        <f>B34-A34</f>
        <v>8502.9988352132495</v>
      </c>
      <c r="C35" s="10">
        <f t="shared" ref="C35" si="703">C34-B34</f>
        <v>8630.5438177414471</v>
      </c>
      <c r="D35" s="10">
        <f t="shared" ref="D35" si="704">D34-C34</f>
        <v>8760.001975007588</v>
      </c>
      <c r="E35" s="10">
        <f t="shared" ref="E35" si="705">E34-D34</f>
        <v>8891.4020046327496</v>
      </c>
      <c r="F35" s="10">
        <f t="shared" ref="F35" si="706">F34-E34</f>
        <v>9024.7730347021716</v>
      </c>
      <c r="G35" s="10">
        <f t="shared" ref="G35" si="707">G34-F34</f>
        <v>9160.1446302226977</v>
      </c>
      <c r="H35" s="10">
        <f t="shared" ref="H35" si="708">H34-G34</f>
        <v>9297.5467996761436</v>
      </c>
      <c r="I35" s="10">
        <f t="shared" ref="I35" si="709">I34-H34</f>
        <v>9437.0100016712677</v>
      </c>
      <c r="J35" s="10">
        <f t="shared" ref="J35" si="710">J34-I34</f>
        <v>9578.5651516963262</v>
      </c>
      <c r="K35" s="10">
        <f t="shared" ref="K35" si="711">K34-J34</f>
        <v>9722.2436289717443</v>
      </c>
      <c r="L35" s="10">
        <f t="shared" ref="L35" si="712">L34-K34</f>
        <v>9868.0772834062809</v>
      </c>
      <c r="M35" s="10">
        <f t="shared" ref="M35" si="713">M34-L34</f>
        <v>10016.098442657385</v>
      </c>
      <c r="N35" s="10">
        <f t="shared" ref="N35" si="714">N34-M34</f>
        <v>10166.339919297257</v>
      </c>
      <c r="O35" s="10">
        <f t="shared" ref="O35" si="715">O34-N34</f>
        <v>10318.835018086713</v>
      </c>
      <c r="P35" s="10">
        <f t="shared" ref="P35" si="716">P34-O34</f>
        <v>10473.617543358007</v>
      </c>
      <c r="Q35" s="10">
        <f t="shared" ref="Q35" si="717">Q34-P34</f>
        <v>10630.721806508373</v>
      </c>
      <c r="R35" s="10">
        <f t="shared" ref="R35" si="718">R34-Q34</f>
        <v>10790.182633606018</v>
      </c>
      <c r="S35" s="10">
        <f t="shared" ref="S35" si="719">S34-R34</f>
        <v>10952.035373110091</v>
      </c>
      <c r="T35" s="10">
        <f t="shared" ref="T35" si="720">T34-S34</f>
        <v>11116.315903706709</v>
      </c>
      <c r="U35" s="10">
        <f t="shared" ref="U35" si="721">U34-T34</f>
        <v>11283.060642262339</v>
      </c>
      <c r="V35" s="10">
        <f t="shared" ref="V35" si="722">V34-U34</f>
        <v>11452.306551896269</v>
      </c>
      <c r="W35" s="10">
        <f t="shared" ref="W35" si="723">W34-V34</f>
        <v>11624.091150174732</v>
      </c>
      <c r="X35" s="10">
        <f t="shared" ref="X35" si="724">X34-W34</f>
        <v>11798.452517427388</v>
      </c>
      <c r="Y35" s="10">
        <f t="shared" ref="Y35" si="725">Y34-X34</f>
        <v>11975.429305188823</v>
      </c>
      <c r="Z35" s="10">
        <f t="shared" ref="Z35" si="726">Z34-Y34</f>
        <v>12155.060744766612</v>
      </c>
      <c r="AA35" s="10">
        <f t="shared" ref="AA35" si="727">AA34-Z34</f>
        <v>12337.386655938113</v>
      </c>
      <c r="AB35" s="10">
        <f t="shared" ref="AB35" si="728">AB34-AA34</f>
        <v>12522.447455777205</v>
      </c>
      <c r="AC35" s="10">
        <f t="shared" ref="AC35" si="729">AC34-AB34</f>
        <v>12710.284167613834</v>
      </c>
      <c r="AD35" s="10">
        <f t="shared" ref="AD35" si="730">AD34-AC34</f>
        <v>12900.938430128037</v>
      </c>
      <c r="AE35" s="10">
        <f t="shared" ref="AE35" si="731">AE34-AD34</f>
        <v>13094.452506579924</v>
      </c>
      <c r="AF35" s="12">
        <f t="shared" ref="AF35" si="732">AVERAGE(B35:AE35)</f>
        <v>10639.712131034183</v>
      </c>
      <c r="AG35" s="9"/>
      <c r="AH35" s="8">
        <f t="shared" si="671"/>
        <v>198111.43987985648</v>
      </c>
      <c r="AI35" s="8"/>
      <c r="AJ35" s="8"/>
    </row>
    <row r="36" spans="1:36" x14ac:dyDescent="0.25">
      <c r="A36" s="10">
        <f>AE34</f>
        <v>886057.95294524892</v>
      </c>
      <c r="B36" s="10">
        <f>A36*$J$4</f>
        <v>899348.82223942759</v>
      </c>
      <c r="C36" s="10">
        <f t="shared" ref="C36" si="733">B36*$J$4</f>
        <v>912839.05457301892</v>
      </c>
      <c r="D36" s="10">
        <f t="shared" ref="D36" si="734">C36*$J$4</f>
        <v>926531.64039161406</v>
      </c>
      <c r="E36" s="10">
        <f t="shared" ref="E36" si="735">D36*$J$4</f>
        <v>940429.61499748821</v>
      </c>
      <c r="F36" s="10">
        <f t="shared" ref="F36" si="736">E36*$J$4</f>
        <v>954536.05922245048</v>
      </c>
      <c r="G36" s="10">
        <f t="shared" ref="G36" si="737">F36*$J$4</f>
        <v>968854.1001107872</v>
      </c>
      <c r="H36" s="10">
        <f t="shared" ref="H36" si="738">G36*$J$4</f>
        <v>983386.91161244886</v>
      </c>
      <c r="I36" s="10">
        <f t="shared" ref="I36" si="739">H36*$J$4</f>
        <v>998137.71528663544</v>
      </c>
      <c r="J36" s="10">
        <f t="shared" ref="J36" si="740">I36*$J$4</f>
        <v>1013109.7810159349</v>
      </c>
      <c r="K36" s="10">
        <f t="shared" ref="K36" si="741">J36*$J$4</f>
        <v>1028306.4277311738</v>
      </c>
      <c r="L36" s="10">
        <f t="shared" ref="L36" si="742">K36*$J$4</f>
        <v>1043731.0241471414</v>
      </c>
      <c r="M36" s="10">
        <f t="shared" ref="M36" si="743">L36*$J$4</f>
        <v>1059386.9895093483</v>
      </c>
      <c r="N36" s="10">
        <f t="shared" ref="N36" si="744">M36*$J$4</f>
        <v>1075277.7943519885</v>
      </c>
      <c r="O36" s="10">
        <f t="shared" ref="O36" si="745">N36*$J$4</f>
        <v>1091406.9612672683</v>
      </c>
      <c r="P36" s="10">
        <f t="shared" ref="P36" si="746">O36*$J$4</f>
        <v>1107778.0656862771</v>
      </c>
      <c r="Q36" s="10">
        <f t="shared" ref="Q36" si="747">P36*$J$4</f>
        <v>1124394.7366715712</v>
      </c>
      <c r="R36" s="10">
        <f t="shared" ref="R36" si="748">Q36*$J$4</f>
        <v>1141260.6577216445</v>
      </c>
      <c r="S36" s="10">
        <f t="shared" ref="S36" si="749">R36*$J$4</f>
        <v>1158379.567587469</v>
      </c>
      <c r="T36" s="10">
        <f t="shared" ref="T36" si="750">S36*$J$4</f>
        <v>1175755.261101281</v>
      </c>
      <c r="U36" s="10">
        <f t="shared" ref="U36" si="751">T36*$J$4</f>
        <v>1193391.5900178002</v>
      </c>
      <c r="V36" s="10">
        <f t="shared" ref="V36" si="752">U36*$J$4</f>
        <v>1211292.4638680671</v>
      </c>
      <c r="W36" s="10">
        <f t="shared" ref="W36" si="753">V36*$J$4</f>
        <v>1229461.8508260881</v>
      </c>
      <c r="X36" s="10">
        <f t="shared" ref="X36" si="754">W36*$J$4</f>
        <v>1247903.7785884794</v>
      </c>
      <c r="Y36" s="10">
        <f t="shared" ref="Y36" si="755">X36*$J$4</f>
        <v>1266622.3352673065</v>
      </c>
      <c r="Z36" s="10">
        <f t="shared" ref="Z36" si="756">Y36*$J$4</f>
        <v>1285621.670296316</v>
      </c>
      <c r="AA36" s="10">
        <f t="shared" ref="AA36" si="757">Z36*$J$4</f>
        <v>1304905.9953507606</v>
      </c>
      <c r="AB36" s="10">
        <f t="shared" ref="AB36" si="758">AA36*$J$4</f>
        <v>1324479.5852810219</v>
      </c>
      <c r="AC36" s="10">
        <f t="shared" ref="AC36" si="759">AB36*$J$4</f>
        <v>1344346.7790602371</v>
      </c>
      <c r="AD36" s="10">
        <f t="shared" ref="AD36" si="760">AC36*$J$4</f>
        <v>1364511.9807461405</v>
      </c>
      <c r="AE36" s="10">
        <f t="shared" ref="AE36" si="761">AD36*$J$4</f>
        <v>1384979.6604573324</v>
      </c>
      <c r="AF36" s="11">
        <f t="shared" ref="AF36" si="762">AE36-A36</f>
        <v>498921.70751208346</v>
      </c>
      <c r="AG36" s="9"/>
      <c r="AH36" s="8">
        <f>18.62*AF36</f>
        <v>9289922.1938749943</v>
      </c>
      <c r="AI36" s="8" t="s">
        <v>14</v>
      </c>
      <c r="AJ36" s="8">
        <f t="shared" ref="AJ36" si="763">18.6*AE36</f>
        <v>25760621.684506383</v>
      </c>
    </row>
    <row r="37" spans="1:36" x14ac:dyDescent="0.25">
      <c r="A37" s="10"/>
      <c r="B37" s="10">
        <f>B36-A36</f>
        <v>13290.869294178672</v>
      </c>
      <c r="C37" s="10">
        <f t="shared" ref="C37" si="764">C36-B36</f>
        <v>13490.232333591324</v>
      </c>
      <c r="D37" s="10">
        <f t="shared" ref="D37" si="765">D36-C36</f>
        <v>13692.585818595137</v>
      </c>
      <c r="E37" s="10">
        <f t="shared" ref="E37" si="766">E36-D36</f>
        <v>13897.974605874158</v>
      </c>
      <c r="F37" s="10">
        <f t="shared" ref="F37" si="767">F36-E36</f>
        <v>14106.444224962266</v>
      </c>
      <c r="G37" s="10">
        <f t="shared" ref="G37" si="768">G36-F36</f>
        <v>14318.04088833672</v>
      </c>
      <c r="H37" s="10">
        <f t="shared" ref="H37" si="769">H36-G36</f>
        <v>14532.811501661665</v>
      </c>
      <c r="I37" s="10">
        <f t="shared" ref="I37" si="770">I36-H36</f>
        <v>14750.80367418658</v>
      </c>
      <c r="J37" s="10">
        <f t="shared" ref="J37" si="771">J36-I36</f>
        <v>14972.065729299444</v>
      </c>
      <c r="K37" s="10">
        <f t="shared" ref="K37" si="772">K36-J36</f>
        <v>15196.646715238923</v>
      </c>
      <c r="L37" s="10">
        <f t="shared" ref="L37" si="773">L36-K36</f>
        <v>15424.596415967564</v>
      </c>
      <c r="M37" s="10">
        <f t="shared" ref="M37" si="774">M36-L36</f>
        <v>15655.965362206916</v>
      </c>
      <c r="N37" s="10">
        <f t="shared" ref="N37" si="775">N36-M36</f>
        <v>15890.80484264018</v>
      </c>
      <c r="O37" s="10">
        <f t="shared" ref="O37" si="776">O36-N36</f>
        <v>16129.166915279813</v>
      </c>
      <c r="P37" s="10">
        <f t="shared" ref="P37" si="777">P36-O36</f>
        <v>16371.104419008829</v>
      </c>
      <c r="Q37" s="10">
        <f t="shared" ref="Q37" si="778">Q36-P36</f>
        <v>16616.67098529404</v>
      </c>
      <c r="R37" s="10">
        <f t="shared" ref="R37" si="779">R36-Q36</f>
        <v>16865.921050073346</v>
      </c>
      <c r="S37" s="10">
        <f t="shared" ref="S37" si="780">S36-R36</f>
        <v>17118.909865824506</v>
      </c>
      <c r="T37" s="10">
        <f t="shared" ref="T37" si="781">T36-S36</f>
        <v>17375.693513812032</v>
      </c>
      <c r="U37" s="10">
        <f t="shared" ref="U37" si="782">U36-T36</f>
        <v>17636.328916519182</v>
      </c>
      <c r="V37" s="10">
        <f t="shared" ref="V37" si="783">V36-U36</f>
        <v>17900.873850266915</v>
      </c>
      <c r="W37" s="10">
        <f t="shared" ref="W37" si="784">W36-V36</f>
        <v>18169.386958020972</v>
      </c>
      <c r="X37" s="10">
        <f t="shared" ref="X37" si="785">X36-W36</f>
        <v>18441.927762391279</v>
      </c>
      <c r="Y37" s="10">
        <f t="shared" ref="Y37" si="786">Y36-X36</f>
        <v>18718.556678827154</v>
      </c>
      <c r="Z37" s="10">
        <f t="shared" ref="Z37" si="787">Z36-Y36</f>
        <v>18999.335029009497</v>
      </c>
      <c r="AA37" s="10">
        <f t="shared" ref="AA37" si="788">AA36-Z36</f>
        <v>19284.325054444605</v>
      </c>
      <c r="AB37" s="10">
        <f t="shared" ref="AB37" si="789">AB36-AA36</f>
        <v>19573.589930261252</v>
      </c>
      <c r="AC37" s="10">
        <f t="shared" ref="AC37" si="790">AC36-AB36</f>
        <v>19867.193779215217</v>
      </c>
      <c r="AD37" s="10">
        <f t="shared" ref="AD37" si="791">AD36-AC36</f>
        <v>20165.201685903361</v>
      </c>
      <c r="AE37" s="10">
        <f t="shared" ref="AE37" si="792">AE36-AD36</f>
        <v>20467.679711191915</v>
      </c>
      <c r="AF37" s="12">
        <f t="shared" ref="AF37" si="793">AVERAGE(B37:AE37)</f>
        <v>16630.723583736115</v>
      </c>
      <c r="AG37" s="9"/>
      <c r="AH37" s="8">
        <f t="shared" ref="AH37:AH54" si="794">18.62*AF37</f>
        <v>309664.0731291665</v>
      </c>
      <c r="AI37" s="8"/>
      <c r="AJ37" s="8"/>
    </row>
    <row r="38" spans="1:36" x14ac:dyDescent="0.25">
      <c r="A38" s="10">
        <f>AE36</f>
        <v>1384979.6604573324</v>
      </c>
      <c r="B38" s="10">
        <f>A38*$J$4</f>
        <v>1405754.3553641923</v>
      </c>
      <c r="C38" s="10">
        <f t="shared" ref="C38" si="795">B38*$J$4</f>
        <v>1426840.670694655</v>
      </c>
      <c r="D38" s="10">
        <f t="shared" ref="D38" si="796">C38*$J$4</f>
        <v>1448243.2807550747</v>
      </c>
      <c r="E38" s="10">
        <f t="shared" ref="E38" si="797">D38*$J$4</f>
        <v>1469966.9299664006</v>
      </c>
      <c r="F38" s="10">
        <f t="shared" ref="F38" si="798">E38*$J$4</f>
        <v>1492016.4339158966</v>
      </c>
      <c r="G38" s="10">
        <f t="shared" ref="G38" si="799">F38*$J$4</f>
        <v>1514396.6804246348</v>
      </c>
      <c r="H38" s="10">
        <f t="shared" ref="H38" si="800">G38*$J$4</f>
        <v>1537112.6306310042</v>
      </c>
      <c r="I38" s="10">
        <f t="shared" ref="I38" si="801">H38*$J$4</f>
        <v>1560169.3200904692</v>
      </c>
      <c r="J38" s="10">
        <f t="shared" ref="J38" si="802">I38*$J$4</f>
        <v>1583571.8598918261</v>
      </c>
      <c r="K38" s="10">
        <f t="shared" ref="K38" si="803">J38*$J$4</f>
        <v>1607325.4377902034</v>
      </c>
      <c r="L38" s="10">
        <f t="shared" ref="L38" si="804">K38*$J$4</f>
        <v>1631435.3193570562</v>
      </c>
      <c r="M38" s="10">
        <f t="shared" ref="M38" si="805">L38*$J$4</f>
        <v>1655906.8491474118</v>
      </c>
      <c r="N38" s="10">
        <f t="shared" ref="N38" si="806">M38*$J$4</f>
        <v>1680745.4518846227</v>
      </c>
      <c r="O38" s="10">
        <f t="shared" ref="O38" si="807">N38*$J$4</f>
        <v>1705956.6336628918</v>
      </c>
      <c r="P38" s="10">
        <f t="shared" ref="P38" si="808">O38*$J$4</f>
        <v>1731545.983167835</v>
      </c>
      <c r="Q38" s="10">
        <f t="shared" ref="Q38" si="809">P38*$J$4</f>
        <v>1757519.1729153525</v>
      </c>
      <c r="R38" s="10">
        <f t="shared" ref="R38" si="810">Q38*$J$4</f>
        <v>1783881.9605090825</v>
      </c>
      <c r="S38" s="10">
        <f t="shared" ref="S38" si="811">R38*$J$4</f>
        <v>1810640.1899167185</v>
      </c>
      <c r="T38" s="10">
        <f t="shared" ref="T38" si="812">S38*$J$4</f>
        <v>1837799.7927654691</v>
      </c>
      <c r="U38" s="10">
        <f t="shared" ref="U38" si="813">T38*$J$4</f>
        <v>1865366.7896569509</v>
      </c>
      <c r="V38" s="10">
        <f t="shared" ref="V38" si="814">U38*$J$4</f>
        <v>1893347.291501805</v>
      </c>
      <c r="W38" s="10">
        <f t="shared" ref="W38" si="815">V38*$J$4</f>
        <v>1921747.5008743319</v>
      </c>
      <c r="X38" s="10">
        <f t="shared" ref="X38" si="816">W38*$J$4</f>
        <v>1950573.7133874467</v>
      </c>
      <c r="Y38" s="10">
        <f t="shared" ref="Y38" si="817">X38*$J$4</f>
        <v>1979832.3190882583</v>
      </c>
      <c r="Z38" s="10">
        <f t="shared" ref="Z38" si="818">Y38*$J$4</f>
        <v>2009529.8038745821</v>
      </c>
      <c r="AA38" s="10">
        <f t="shared" ref="AA38" si="819">Z38*$J$4</f>
        <v>2039672.7509327007</v>
      </c>
      <c r="AB38" s="10">
        <f t="shared" ref="AB38" si="820">AA38*$J$4</f>
        <v>2070267.8421966911</v>
      </c>
      <c r="AC38" s="10">
        <f t="shared" ref="AC38" si="821">AB38*$J$4</f>
        <v>2101321.8598296414</v>
      </c>
      <c r="AD38" s="10">
        <f t="shared" ref="AD38" si="822">AC38*$J$4</f>
        <v>2132841.6877270858</v>
      </c>
      <c r="AE38" s="10">
        <f t="shared" ref="AE38" si="823">AD38*$J$4</f>
        <v>2164834.3130429918</v>
      </c>
      <c r="AF38" s="11">
        <f t="shared" ref="AF38" si="824">AE38-A38</f>
        <v>779854.65258565941</v>
      </c>
      <c r="AG38" s="9"/>
      <c r="AH38" s="8">
        <f t="shared" si="794"/>
        <v>14520893.631144978</v>
      </c>
      <c r="AI38" s="8" t="s">
        <v>15</v>
      </c>
      <c r="AJ38" s="8">
        <f t="shared" ref="AJ38" si="825">18.6*AE38</f>
        <v>40265918.222599648</v>
      </c>
    </row>
    <row r="39" spans="1:36" x14ac:dyDescent="0.25">
      <c r="A39" s="10"/>
      <c r="B39" s="10">
        <f>B38-A38</f>
        <v>20774.694906859891</v>
      </c>
      <c r="C39" s="10">
        <f t="shared" ref="C39" si="826">C38-B38</f>
        <v>21086.315330462763</v>
      </c>
      <c r="D39" s="10">
        <f t="shared" ref="D39" si="827">D38-C38</f>
        <v>21402.610060419654</v>
      </c>
      <c r="E39" s="10">
        <f t="shared" ref="E39" si="828">E38-D38</f>
        <v>21723.649211325916</v>
      </c>
      <c r="F39" s="10">
        <f t="shared" ref="F39" si="829">F38-E38</f>
        <v>22049.503949495964</v>
      </c>
      <c r="G39" s="10">
        <f t="shared" ref="G39" si="830">G38-F38</f>
        <v>22380.246508738259</v>
      </c>
      <c r="H39" s="10">
        <f t="shared" ref="H39" si="831">H38-G38</f>
        <v>22715.950206369394</v>
      </c>
      <c r="I39" s="10">
        <f t="shared" ref="I39" si="832">I38-H38</f>
        <v>23056.689459464978</v>
      </c>
      <c r="J39" s="10">
        <f t="shared" ref="J39" si="833">J38-I38</f>
        <v>23402.539801356848</v>
      </c>
      <c r="K39" s="10">
        <f t="shared" ref="K39" si="834">K38-J38</f>
        <v>23753.57789837732</v>
      </c>
      <c r="L39" s="10">
        <f t="shared" ref="L39" si="835">L38-K38</f>
        <v>24109.881566852797</v>
      </c>
      <c r="M39" s="10">
        <f t="shared" ref="M39" si="836">M38-L38</f>
        <v>24471.529790355591</v>
      </c>
      <c r="N39" s="10">
        <f t="shared" ref="N39" si="837">N38-M38</f>
        <v>24838.602737210924</v>
      </c>
      <c r="O39" s="10">
        <f t="shared" ref="O39" si="838">O38-N38</f>
        <v>25211.181778269121</v>
      </c>
      <c r="P39" s="10">
        <f t="shared" ref="P39" si="839">P38-O38</f>
        <v>25589.349504943239</v>
      </c>
      <c r="Q39" s="10">
        <f t="shared" ref="Q39" si="840">Q38-P38</f>
        <v>25973.189747517463</v>
      </c>
      <c r="R39" s="10">
        <f t="shared" ref="R39" si="841">R38-Q38</f>
        <v>26362.787593730027</v>
      </c>
      <c r="S39" s="10">
        <f t="shared" ref="S39" si="842">S38-R38</f>
        <v>26758.229407635983</v>
      </c>
      <c r="T39" s="10">
        <f t="shared" ref="T39" si="843">T38-S38</f>
        <v>27159.602848750539</v>
      </c>
      <c r="U39" s="10">
        <f t="shared" ref="U39" si="844">U38-T38</f>
        <v>27566.996891481802</v>
      </c>
      <c r="V39" s="10">
        <f t="shared" ref="V39" si="845">V38-U38</f>
        <v>27980.501844854094</v>
      </c>
      <c r="W39" s="10">
        <f t="shared" ref="W39" si="846">W38-V38</f>
        <v>28400.209372526966</v>
      </c>
      <c r="X39" s="10">
        <f t="shared" ref="X39" si="847">X38-W38</f>
        <v>28826.212513114791</v>
      </c>
      <c r="Y39" s="10">
        <f t="shared" ref="Y39" si="848">Y38-X38</f>
        <v>29258.605700811604</v>
      </c>
      <c r="Z39" s="10">
        <f t="shared" ref="Z39" si="849">Z38-Y38</f>
        <v>29697.484786323737</v>
      </c>
      <c r="AA39" s="10">
        <f t="shared" ref="AA39" si="850">AA38-Z38</f>
        <v>30142.947058118647</v>
      </c>
      <c r="AB39" s="10">
        <f t="shared" ref="AB39" si="851">AB38-AA38</f>
        <v>30595.091263990384</v>
      </c>
      <c r="AC39" s="10">
        <f t="shared" ref="AC39" si="852">AC38-AB38</f>
        <v>31054.01763295033</v>
      </c>
      <c r="AD39" s="10">
        <f t="shared" ref="AD39" si="853">AD38-AC38</f>
        <v>31519.827897444367</v>
      </c>
      <c r="AE39" s="10">
        <f t="shared" ref="AE39" si="854">AE38-AD38</f>
        <v>31992.625315906014</v>
      </c>
      <c r="AF39" s="12">
        <f t="shared" ref="AF39" si="855">AVERAGE(B39:AE39)</f>
        <v>25995.155086188646</v>
      </c>
      <c r="AG39" s="9"/>
      <c r="AH39" s="8">
        <f t="shared" si="794"/>
        <v>484029.78770483262</v>
      </c>
      <c r="AI39" s="8"/>
      <c r="AJ39" s="8"/>
    </row>
    <row r="40" spans="1:36" x14ac:dyDescent="0.25">
      <c r="A40" s="10">
        <f t="shared" ref="A40" si="856">AE38</f>
        <v>2164834.3130429918</v>
      </c>
      <c r="B40" s="10">
        <f t="shared" ref="B40" si="857">A40*$J$4</f>
        <v>2197306.8277386366</v>
      </c>
      <c r="C40" s="10">
        <f t="shared" ref="C40" si="858">B40*$J$4</f>
        <v>2230266.4301547161</v>
      </c>
      <c r="D40" s="10">
        <f t="shared" ref="D40" si="859">C40*$J$4</f>
        <v>2263720.4266070365</v>
      </c>
      <c r="E40" s="10">
        <f t="shared" ref="E40" si="860">D40*$J$4</f>
        <v>2297676.2330061416</v>
      </c>
      <c r="F40" s="10">
        <f t="shared" ref="F40" si="861">E40*$J$4</f>
        <v>2332141.3765012333</v>
      </c>
      <c r="G40" s="10">
        <f t="shared" ref="G40" si="862">F40*$J$4</f>
        <v>2367123.4971487517</v>
      </c>
      <c r="H40" s="10">
        <f t="shared" ref="H40" si="863">G40*$J$4</f>
        <v>2402630.3496059827</v>
      </c>
      <c r="I40" s="10">
        <f t="shared" ref="I40" si="864">H40*$J$4</f>
        <v>2438669.8048500721</v>
      </c>
      <c r="J40" s="10">
        <f t="shared" ref="J40" si="865">I40*$J$4</f>
        <v>2475249.8519228231</v>
      </c>
      <c r="K40" s="10">
        <f t="shared" ref="K40" si="866">J40*$J$4</f>
        <v>2512378.5997016653</v>
      </c>
      <c r="L40" s="10">
        <f t="shared" ref="L40" si="867">K40*$J$4</f>
        <v>2550064.2786971899</v>
      </c>
      <c r="M40" s="10">
        <f t="shared" ref="M40" si="868">L40*$J$4</f>
        <v>2588315.2428776473</v>
      </c>
      <c r="N40" s="10">
        <f t="shared" ref="N40" si="869">M40*$J$4</f>
        <v>2627139.9715208118</v>
      </c>
      <c r="O40" s="10">
        <f t="shared" ref="O40" si="870">N40*$J$4</f>
        <v>2666547.0710936235</v>
      </c>
      <c r="P40" s="10">
        <f t="shared" ref="P40" si="871">O40*$J$4</f>
        <v>2706545.2771600275</v>
      </c>
      <c r="Q40" s="10">
        <f t="shared" ref="Q40" si="872">P40*$J$4</f>
        <v>2747143.4563174276</v>
      </c>
      <c r="R40" s="10">
        <f t="shared" ref="R40" si="873">Q40*$J$4</f>
        <v>2788350.6081621889</v>
      </c>
      <c r="S40" s="10">
        <f t="shared" ref="S40" si="874">R40*$J$4</f>
        <v>2830175.8672846216</v>
      </c>
      <c r="T40" s="10">
        <f t="shared" ref="T40" si="875">S40*$J$4</f>
        <v>2872628.5052938908</v>
      </c>
      <c r="U40" s="10">
        <f t="shared" ref="U40" si="876">T40*$J$4</f>
        <v>2915717.9328732989</v>
      </c>
      <c r="V40" s="10">
        <f t="shared" ref="V40" si="877">U40*$J$4</f>
        <v>2959453.7018663981</v>
      </c>
      <c r="W40" s="10">
        <f t="shared" ref="W40" si="878">V40*$J$4</f>
        <v>3003845.5073943939</v>
      </c>
      <c r="X40" s="10">
        <f t="shared" ref="X40" si="879">W40*$J$4</f>
        <v>3048903.1900053094</v>
      </c>
      <c r="Y40" s="10">
        <f t="shared" ref="Y40" si="880">X40*$J$4</f>
        <v>3094636.7378553888</v>
      </c>
      <c r="Z40" s="10">
        <f t="shared" ref="Z40" si="881">Y40*$J$4</f>
        <v>3141056.2889232193</v>
      </c>
      <c r="AA40" s="10">
        <f t="shared" ref="AA40" si="882">Z40*$J$4</f>
        <v>3188172.1332570673</v>
      </c>
      <c r="AB40" s="10">
        <f t="shared" ref="AB40" si="883">AA40*$J$4</f>
        <v>3235994.7152559231</v>
      </c>
      <c r="AC40" s="10">
        <f t="shared" ref="AC40" si="884">AB40*$J$4</f>
        <v>3284534.6359847616</v>
      </c>
      <c r="AD40" s="10">
        <f t="shared" ref="AD40" si="885">AC40*$J$4</f>
        <v>3333802.6555245328</v>
      </c>
      <c r="AE40" s="10">
        <f t="shared" ref="AE40" si="886">AD40*$J$4</f>
        <v>3383809.6953574005</v>
      </c>
      <c r="AF40" s="11">
        <f t="shared" ref="AF40" si="887">AE40-A40</f>
        <v>1218975.3823144087</v>
      </c>
      <c r="AG40" s="9"/>
      <c r="AH40" s="8">
        <f t="shared" si="794"/>
        <v>22697321.618694291</v>
      </c>
      <c r="AI40" s="8" t="s">
        <v>16</v>
      </c>
      <c r="AJ40" s="8">
        <f t="shared" ref="AJ40" si="888">18.6*AE40</f>
        <v>62938860.333647653</v>
      </c>
    </row>
    <row r="41" spans="1:36" x14ac:dyDescent="0.25">
      <c r="A41" s="10"/>
      <c r="B41" s="10">
        <f t="shared" ref="B41" si="889">B40-A40</f>
        <v>32472.514695644844</v>
      </c>
      <c r="C41" s="10">
        <f t="shared" ref="C41" si="890">C40-B40</f>
        <v>32959.602416079491</v>
      </c>
      <c r="D41" s="10">
        <f t="shared" ref="D41" si="891">D40-C40</f>
        <v>33453.996452320367</v>
      </c>
      <c r="E41" s="10">
        <f t="shared" ref="E41" si="892">E40-D40</f>
        <v>33955.806399105117</v>
      </c>
      <c r="F41" s="10">
        <f t="shared" ref="F41" si="893">F40-E40</f>
        <v>34465.143495091703</v>
      </c>
      <c r="G41" s="10">
        <f t="shared" ref="G41" si="894">G40-F40</f>
        <v>34982.12064751843</v>
      </c>
      <c r="H41" s="10">
        <f t="shared" ref="H41" si="895">H40-G40</f>
        <v>35506.852457230911</v>
      </c>
      <c r="I41" s="10">
        <f t="shared" ref="I41" si="896">I40-H40</f>
        <v>36039.455244089477</v>
      </c>
      <c r="J41" s="10">
        <f t="shared" ref="J41" si="897">J40-I40</f>
        <v>36580.047072750982</v>
      </c>
      <c r="K41" s="10">
        <f t="shared" ref="K41" si="898">K40-J40</f>
        <v>37128.747778842226</v>
      </c>
      <c r="L41" s="10">
        <f t="shared" ref="L41" si="899">L40-K40</f>
        <v>37685.678995524533</v>
      </c>
      <c r="M41" s="10">
        <f t="shared" ref="M41" si="900">M40-L40</f>
        <v>38250.964180457406</v>
      </c>
      <c r="N41" s="10">
        <f t="shared" ref="N41" si="901">N40-M40</f>
        <v>38824.728643164504</v>
      </c>
      <c r="O41" s="10">
        <f t="shared" ref="O41" si="902">O40-N40</f>
        <v>39407.099572811741</v>
      </c>
      <c r="P41" s="10">
        <f t="shared" ref="P41" si="903">P40-O40</f>
        <v>39998.206066404004</v>
      </c>
      <c r="Q41" s="10">
        <f t="shared" ref="Q41" si="904">Q40-P40</f>
        <v>40598.179157400038</v>
      </c>
      <c r="R41" s="10">
        <f t="shared" ref="R41" si="905">R40-Q40</f>
        <v>41207.151844761334</v>
      </c>
      <c r="S41" s="10">
        <f t="shared" ref="S41" si="906">S40-R40</f>
        <v>41825.259122432675</v>
      </c>
      <c r="T41" s="10">
        <f t="shared" ref="T41" si="907">T40-S40</f>
        <v>42452.638009269256</v>
      </c>
      <c r="U41" s="10">
        <f t="shared" ref="U41" si="908">U40-T40</f>
        <v>43089.427579408046</v>
      </c>
      <c r="V41" s="10">
        <f t="shared" ref="V41" si="909">V40-U40</f>
        <v>43735.76899309922</v>
      </c>
      <c r="W41" s="10">
        <f t="shared" ref="W41" si="910">W40-V40</f>
        <v>44391.805527995806</v>
      </c>
      <c r="X41" s="10">
        <f t="shared" ref="X41" si="911">X40-W40</f>
        <v>45057.682610915508</v>
      </c>
      <c r="Y41" s="10">
        <f t="shared" ref="Y41" si="912">Y40-X40</f>
        <v>45733.547850079369</v>
      </c>
      <c r="Z41" s="10">
        <f t="shared" ref="Z41" si="913">Z40-Y40</f>
        <v>46419.551067830529</v>
      </c>
      <c r="AA41" s="10">
        <f t="shared" ref="AA41" si="914">AA40-Z40</f>
        <v>47115.844333847985</v>
      </c>
      <c r="AB41" s="10">
        <f t="shared" ref="AB41" si="915">AB40-AA40</f>
        <v>47822.581998855807</v>
      </c>
      <c r="AC41" s="10">
        <f t="shared" ref="AC41" si="916">AC40-AB40</f>
        <v>48539.920728838537</v>
      </c>
      <c r="AD41" s="10">
        <f t="shared" ref="AD41" si="917">AD40-AC40</f>
        <v>49268.019539771136</v>
      </c>
      <c r="AE41" s="10">
        <f t="shared" ref="AE41" si="918">AE40-AD40</f>
        <v>50007.039832867682</v>
      </c>
      <c r="AF41" s="12">
        <f t="shared" ref="AF41" si="919">AVERAGE(B41:AE41)</f>
        <v>40632.512743813619</v>
      </c>
      <c r="AG41" s="9"/>
      <c r="AH41" s="8">
        <f t="shared" si="794"/>
        <v>756577.38728980965</v>
      </c>
      <c r="AI41" s="8"/>
      <c r="AJ41" s="8"/>
    </row>
    <row r="42" spans="1:36" x14ac:dyDescent="0.25">
      <c r="A42" s="10">
        <f t="shared" ref="A42" si="920">AE40</f>
        <v>3383809.6953574005</v>
      </c>
      <c r="B42" s="10">
        <f t="shared" ref="B42" si="921">A42*$J$4</f>
        <v>3434566.8407877609</v>
      </c>
      <c r="C42" s="10">
        <f t="shared" ref="C42" si="922">B42*$J$4</f>
        <v>3486085.3433995768</v>
      </c>
      <c r="D42" s="10">
        <f t="shared" ref="D42" si="923">C42*$J$4</f>
        <v>3538376.6235505701</v>
      </c>
      <c r="E42" s="10">
        <f t="shared" ref="E42" si="924">D42*$J$4</f>
        <v>3591452.2729038284</v>
      </c>
      <c r="F42" s="10">
        <f t="shared" ref="F42" si="925">E42*$J$4</f>
        <v>3645324.0569973853</v>
      </c>
      <c r="G42" s="10">
        <f t="shared" ref="G42" si="926">F42*$J$4</f>
        <v>3700003.9178523459</v>
      </c>
      <c r="H42" s="10">
        <f t="shared" ref="H42" si="927">G42*$J$4</f>
        <v>3755503.9766201307</v>
      </c>
      <c r="I42" s="10">
        <f t="shared" ref="I42" si="928">H42*$J$4</f>
        <v>3811836.5362694324</v>
      </c>
      <c r="J42" s="10">
        <f t="shared" ref="J42" si="929">I42*$J$4</f>
        <v>3869014.0843134737</v>
      </c>
      <c r="K42" s="10">
        <f t="shared" ref="K42" si="930">J42*$J$4</f>
        <v>3927049.2955781752</v>
      </c>
      <c r="L42" s="10">
        <f t="shared" ref="L42" si="931">K42*$J$4</f>
        <v>3985955.0350118475</v>
      </c>
      <c r="M42" s="10">
        <f t="shared" ref="M42" si="932">L42*$J$4</f>
        <v>4045744.3605370247</v>
      </c>
      <c r="N42" s="10">
        <f t="shared" ref="N42" si="933">M42*$J$4</f>
        <v>4106430.5259450795</v>
      </c>
      <c r="O42" s="10">
        <f t="shared" ref="O42" si="934">N42*$J$4</f>
        <v>4168026.9838342555</v>
      </c>
      <c r="P42" s="10">
        <f t="shared" ref="P42" si="935">O42*$J$4</f>
        <v>4230547.3885917692</v>
      </c>
      <c r="Q42" s="10">
        <f t="shared" ref="Q42" si="936">P42*$J$4</f>
        <v>4294005.5994206453</v>
      </c>
      <c r="R42" s="10">
        <f t="shared" ref="R42" si="937">Q42*$J$4</f>
        <v>4358415.6834119549</v>
      </c>
      <c r="S42" s="10">
        <f t="shared" ref="S42" si="938">R42*$J$4</f>
        <v>4423791.9186631339</v>
      </c>
      <c r="T42" s="10">
        <f t="shared" ref="T42" si="939">S42*$J$4</f>
        <v>4490148.7974430807</v>
      </c>
      <c r="U42" s="10">
        <f t="shared" ref="U42" si="940">T42*$J$4</f>
        <v>4557501.0294047268</v>
      </c>
      <c r="V42" s="10">
        <f t="shared" ref="V42" si="941">U42*$J$4</f>
        <v>4625863.5448457971</v>
      </c>
      <c r="W42" s="10">
        <f t="shared" ref="W42" si="942">V42*$J$4</f>
        <v>4695251.4980184836</v>
      </c>
      <c r="X42" s="10">
        <f t="shared" ref="X42" si="943">W42*$J$4</f>
        <v>4765680.2704887604</v>
      </c>
      <c r="Y42" s="10">
        <f t="shared" ref="Y42" si="944">X42*$J$4</f>
        <v>4837165.4745460916</v>
      </c>
      <c r="Z42" s="10">
        <f t="shared" ref="Z42" si="945">Y42*$J$4</f>
        <v>4909722.9566642828</v>
      </c>
      <c r="AA42" s="10">
        <f t="shared" ref="AA42" si="946">Z42*$J$4</f>
        <v>4983368.8010142464</v>
      </c>
      <c r="AB42" s="10">
        <f t="shared" ref="AB42" si="947">AA42*$J$4</f>
        <v>5058119.3330294592</v>
      </c>
      <c r="AC42" s="10">
        <f t="shared" ref="AC42" si="948">AB42*$J$4</f>
        <v>5133991.1230249004</v>
      </c>
      <c r="AD42" s="10">
        <f t="shared" ref="AD42" si="949">AC42*$J$4</f>
        <v>5211000.9898702735</v>
      </c>
      <c r="AE42" s="10">
        <f t="shared" ref="AE42" si="950">AD42*$J$4</f>
        <v>5289166.004718327</v>
      </c>
      <c r="AF42" s="11">
        <f t="shared" ref="AF42" si="951">AE42-A42</f>
        <v>1905356.3093609265</v>
      </c>
      <c r="AG42" s="9"/>
      <c r="AH42" s="8">
        <f t="shared" si="794"/>
        <v>35477734.480300456</v>
      </c>
      <c r="AI42" s="8" t="s">
        <v>17</v>
      </c>
      <c r="AJ42" s="8">
        <f t="shared" ref="AJ42" si="952">18.6*AE42</f>
        <v>98378487.68776089</v>
      </c>
    </row>
    <row r="43" spans="1:36" x14ac:dyDescent="0.25">
      <c r="A43" s="10"/>
      <c r="B43" s="10">
        <f t="shared" ref="B43" si="953">B42-A42</f>
        <v>50757.145430360455</v>
      </c>
      <c r="C43" s="10">
        <f t="shared" ref="C43" si="954">C42-B42</f>
        <v>51518.502611815929</v>
      </c>
      <c r="D43" s="10">
        <f t="shared" ref="D43" si="955">D42-C42</f>
        <v>52291.280150993261</v>
      </c>
      <c r="E43" s="10">
        <f t="shared" ref="E43" si="956">E42-D42</f>
        <v>53075.649353258312</v>
      </c>
      <c r="F43" s="10">
        <f t="shared" ref="F43" si="957">F42-E42</f>
        <v>53871.784093556926</v>
      </c>
      <c r="G43" s="10">
        <f t="shared" ref="G43" si="958">G42-F42</f>
        <v>54679.860854960512</v>
      </c>
      <c r="H43" s="10">
        <f t="shared" ref="H43" si="959">H42-G42</f>
        <v>55500.058767784853</v>
      </c>
      <c r="I43" s="10">
        <f t="shared" ref="I43" si="960">I42-H42</f>
        <v>56332.559649301693</v>
      </c>
      <c r="J43" s="10">
        <f t="shared" ref="J43" si="961">J42-I42</f>
        <v>57177.548044041265</v>
      </c>
      <c r="K43" s="10">
        <f t="shared" ref="K43" si="962">K42-J42</f>
        <v>58035.21126470156</v>
      </c>
      <c r="L43" s="10">
        <f t="shared" ref="L43" si="963">L42-K42</f>
        <v>58905.739433672279</v>
      </c>
      <c r="M43" s="10">
        <f t="shared" ref="M43" si="964">M42-L42</f>
        <v>59789.325525177177</v>
      </c>
      <c r="N43" s="10">
        <f t="shared" ref="N43" si="965">N42-M42</f>
        <v>60686.165408054832</v>
      </c>
      <c r="O43" s="10">
        <f t="shared" ref="O43" si="966">O42-N42</f>
        <v>61596.457889175974</v>
      </c>
      <c r="P43" s="10">
        <f t="shared" ref="P43" si="967">P42-O42</f>
        <v>62520.404757513665</v>
      </c>
      <c r="Q43" s="10">
        <f t="shared" ref="Q43" si="968">Q42-P42</f>
        <v>63458.210828876123</v>
      </c>
      <c r="R43" s="10">
        <f t="shared" ref="R43" si="969">R42-Q42</f>
        <v>64410.083991309628</v>
      </c>
      <c r="S43" s="10">
        <f t="shared" ref="S43" si="970">S42-R42</f>
        <v>65376.235251178965</v>
      </c>
      <c r="T43" s="10">
        <f t="shared" ref="T43" si="971">T42-S42</f>
        <v>66356.878779946826</v>
      </c>
      <c r="U43" s="10">
        <f t="shared" ref="U43" si="972">U42-T42</f>
        <v>67352.231961646117</v>
      </c>
      <c r="V43" s="10">
        <f t="shared" ref="V43" si="973">V42-U42</f>
        <v>68362.515441070311</v>
      </c>
      <c r="W43" s="10">
        <f t="shared" ref="W43" si="974">W42-V42</f>
        <v>69387.95317268651</v>
      </c>
      <c r="X43" s="10">
        <f t="shared" ref="X43" si="975">X42-W42</f>
        <v>70428.772470276803</v>
      </c>
      <c r="Y43" s="10">
        <f t="shared" ref="Y43" si="976">Y42-X42</f>
        <v>71485.204057331197</v>
      </c>
      <c r="Z43" s="10">
        <f t="shared" ref="Z43" si="977">Z42-Y42</f>
        <v>72557.482118191198</v>
      </c>
      <c r="AA43" s="10">
        <f t="shared" ref="AA43" si="978">AA42-Z42</f>
        <v>73645.844349963591</v>
      </c>
      <c r="AB43" s="10">
        <f t="shared" ref="AB43" si="979">AB42-AA42</f>
        <v>74750.532015212812</v>
      </c>
      <c r="AC43" s="10">
        <f t="shared" ref="AC43" si="980">AC42-AB42</f>
        <v>75871.789995441213</v>
      </c>
      <c r="AD43" s="10">
        <f t="shared" ref="AD43" si="981">AD42-AC42</f>
        <v>77009.866845373064</v>
      </c>
      <c r="AE43" s="10">
        <f t="shared" ref="AE43" si="982">AE42-AD42</f>
        <v>78165.014848053455</v>
      </c>
      <c r="AF43" s="12">
        <f t="shared" ref="AF43" si="983">AVERAGE(B43:AE43)</f>
        <v>63511.876978697554</v>
      </c>
      <c r="AG43" s="9"/>
      <c r="AH43" s="8">
        <f t="shared" si="794"/>
        <v>1182591.1493433486</v>
      </c>
      <c r="AI43" s="8"/>
      <c r="AJ43" s="8"/>
    </row>
    <row r="44" spans="1:36" x14ac:dyDescent="0.25">
      <c r="A44" s="10">
        <f t="shared" ref="A44" si="984">AE42</f>
        <v>5289166.004718327</v>
      </c>
      <c r="B44" s="10">
        <f t="shared" ref="B44" si="985">A44*$J$4</f>
        <v>5368503.4947891012</v>
      </c>
      <c r="C44" s="10">
        <f t="shared" ref="C44" si="986">B44*$J$4</f>
        <v>5449031.0472109374</v>
      </c>
      <c r="D44" s="10">
        <f t="shared" ref="D44" si="987">C44*$J$4</f>
        <v>5530766.5129191009</v>
      </c>
      <c r="E44" s="10">
        <f t="shared" ref="E44" si="988">D44*$J$4</f>
        <v>5613728.0106128873</v>
      </c>
      <c r="F44" s="10">
        <f t="shared" ref="F44" si="989">E44*$J$4</f>
        <v>5697933.9307720801</v>
      </c>
      <c r="G44" s="10">
        <f t="shared" ref="G44" si="990">F44*$J$4</f>
        <v>5783402.9397336608</v>
      </c>
      <c r="H44" s="10">
        <f t="shared" ref="H44" si="991">G44*$J$4</f>
        <v>5870153.983829665</v>
      </c>
      <c r="I44" s="10">
        <f t="shared" ref="I44" si="992">H44*$J$4</f>
        <v>5958206.2935871091</v>
      </c>
      <c r="J44" s="10">
        <f t="shared" ref="J44" si="993">I44*$J$4</f>
        <v>6047579.3879909152</v>
      </c>
      <c r="K44" s="10">
        <f t="shared" ref="K44" si="994">J44*$J$4</f>
        <v>6138293.0788107784</v>
      </c>
      <c r="L44" s="10">
        <f t="shared" ref="L44" si="995">K44*$J$4</f>
        <v>6230367.4749929393</v>
      </c>
      <c r="M44" s="10">
        <f t="shared" ref="M44" si="996">L44*$J$4</f>
        <v>6323822.9871178325</v>
      </c>
      <c r="N44" s="10">
        <f t="shared" ref="N44" si="997">M44*$J$4</f>
        <v>6418680.3319245996</v>
      </c>
      <c r="O44" s="10">
        <f t="shared" ref="O44" si="998">N44*$J$4</f>
        <v>6514960.536903468</v>
      </c>
      <c r="P44" s="10">
        <f t="shared" ref="P44" si="999">O44*$J$4</f>
        <v>6612684.9449570198</v>
      </c>
      <c r="Q44" s="10">
        <f t="shared" ref="Q44" si="1000">P44*$J$4</f>
        <v>6711875.2191313747</v>
      </c>
      <c r="R44" s="10">
        <f t="shared" ref="R44" si="1001">Q44*$J$4</f>
        <v>6812553.3474183446</v>
      </c>
      <c r="S44" s="10">
        <f t="shared" ref="S44" si="1002">R44*$J$4</f>
        <v>6914741.6476296186</v>
      </c>
      <c r="T44" s="10">
        <f t="shared" ref="T44" si="1003">S44*$J$4</f>
        <v>7018462.7723440621</v>
      </c>
      <c r="U44" s="10">
        <f t="shared" ref="U44" si="1004">T44*$J$4</f>
        <v>7123739.713929222</v>
      </c>
      <c r="V44" s="10">
        <f t="shared" ref="V44" si="1005">U44*$J$4</f>
        <v>7230595.8096381593</v>
      </c>
      <c r="W44" s="10">
        <f t="shared" ref="W44" si="1006">V44*$J$4</f>
        <v>7339054.7467827313</v>
      </c>
      <c r="X44" s="10">
        <f t="shared" ref="X44" si="1007">W44*$J$4</f>
        <v>7449140.5679844711</v>
      </c>
      <c r="Y44" s="10">
        <f t="shared" ref="Y44" si="1008">X44*$J$4</f>
        <v>7560877.6765042376</v>
      </c>
      <c r="Z44" s="10">
        <f t="shared" ref="Z44" si="1009">Y44*$J$4</f>
        <v>7674290.8416518001</v>
      </c>
      <c r="AA44" s="10">
        <f t="shared" ref="AA44" si="1010">Z44*$J$4</f>
        <v>7789405.2042765766</v>
      </c>
      <c r="AB44" s="10">
        <f t="shared" ref="AB44" si="1011">AA44*$J$4</f>
        <v>7906246.282340725</v>
      </c>
      <c r="AC44" s="10">
        <f t="shared" ref="AC44" si="1012">AB44*$J$4</f>
        <v>8024839.9765758347</v>
      </c>
      <c r="AD44" s="10">
        <f t="shared" ref="AD44" si="1013">AC44*$J$4</f>
        <v>8145212.5762244714</v>
      </c>
      <c r="AE44" s="10">
        <f t="shared" ref="AE44" si="1014">AD44*$J$4</f>
        <v>8267390.7648678375</v>
      </c>
      <c r="AF44" s="11">
        <f t="shared" ref="AF44" si="1015">AE44-A44</f>
        <v>2978224.7601495106</v>
      </c>
      <c r="AG44" s="9"/>
      <c r="AH44" s="8">
        <f t="shared" si="794"/>
        <v>55454545.033983886</v>
      </c>
      <c r="AI44" s="8" t="s">
        <v>18</v>
      </c>
      <c r="AJ44" s="8">
        <f t="shared" ref="AJ44" si="1016">18.6*AE44</f>
        <v>153773468.22654179</v>
      </c>
    </row>
    <row r="45" spans="1:36" x14ac:dyDescent="0.25">
      <c r="A45" s="10"/>
      <c r="B45" s="10">
        <f t="shared" ref="B45" si="1017">B44-A44</f>
        <v>79337.49007077422</v>
      </c>
      <c r="C45" s="10">
        <f t="shared" ref="C45" si="1018">C44-B44</f>
        <v>80527.552421836182</v>
      </c>
      <c r="D45" s="10">
        <f t="shared" ref="D45" si="1019">D44-C44</f>
        <v>81735.465708163567</v>
      </c>
      <c r="E45" s="10">
        <f t="shared" ref="E45" si="1020">E44-D44</f>
        <v>82961.497693786398</v>
      </c>
      <c r="F45" s="10">
        <f t="shared" ref="F45" si="1021">F44-E44</f>
        <v>84205.920159192756</v>
      </c>
      <c r="G45" s="10">
        <f t="shared" ref="G45" si="1022">G44-F44</f>
        <v>85469.008961580694</v>
      </c>
      <c r="H45" s="10">
        <f t="shared" ref="H45" si="1023">H44-G44</f>
        <v>86751.044096004218</v>
      </c>
      <c r="I45" s="10">
        <f t="shared" ref="I45" si="1024">I44-H44</f>
        <v>88052.309757444076</v>
      </c>
      <c r="J45" s="10">
        <f t="shared" ref="J45" si="1025">J44-I44</f>
        <v>89373.094403806143</v>
      </c>
      <c r="K45" s="10">
        <f t="shared" ref="K45" si="1026">K44-J44</f>
        <v>90713.69081986323</v>
      </c>
      <c r="L45" s="10">
        <f t="shared" ref="L45" si="1027">L44-K44</f>
        <v>92074.396182160825</v>
      </c>
      <c r="M45" s="10">
        <f t="shared" ref="M45" si="1028">M44-L44</f>
        <v>93455.512124893256</v>
      </c>
      <c r="N45" s="10">
        <f t="shared" ref="N45" si="1029">N44-M44</f>
        <v>94857.344806767069</v>
      </c>
      <c r="O45" s="10">
        <f t="shared" ref="O45" si="1030">O44-N44</f>
        <v>96280.204978868365</v>
      </c>
      <c r="P45" s="10">
        <f t="shared" ref="P45" si="1031">P44-O44</f>
        <v>97724.408053551801</v>
      </c>
      <c r="Q45" s="10">
        <f t="shared" ref="Q45" si="1032">Q44-P44</f>
        <v>99190.27417435497</v>
      </c>
      <c r="R45" s="10">
        <f t="shared" ref="R45" si="1033">R44-Q44</f>
        <v>100678.12828696985</v>
      </c>
      <c r="S45" s="10">
        <f t="shared" ref="S45" si="1034">S44-R44</f>
        <v>102188.30021127407</v>
      </c>
      <c r="T45" s="10">
        <f t="shared" ref="T45" si="1035">T44-S44</f>
        <v>103721.12471444346</v>
      </c>
      <c r="U45" s="10">
        <f t="shared" ref="U45" si="1036">U44-T44</f>
        <v>105276.94158515986</v>
      </c>
      <c r="V45" s="10">
        <f t="shared" ref="V45" si="1037">V44-U44</f>
        <v>106856.09570893738</v>
      </c>
      <c r="W45" s="10">
        <f t="shared" ref="W45" si="1038">W44-V44</f>
        <v>108458.93714457192</v>
      </c>
      <c r="X45" s="10">
        <f t="shared" ref="X45" si="1039">X44-W44</f>
        <v>110085.82120173983</v>
      </c>
      <c r="Y45" s="10">
        <f t="shared" ref="Y45" si="1040">Y44-X44</f>
        <v>111737.10851976648</v>
      </c>
      <c r="Z45" s="10">
        <f t="shared" ref="Z45" si="1041">Z44-Y44</f>
        <v>113413.16514756251</v>
      </c>
      <c r="AA45" s="10">
        <f t="shared" ref="AA45" si="1042">AA44-Z44</f>
        <v>115114.36262477655</v>
      </c>
      <c r="AB45" s="10">
        <f t="shared" ref="AB45" si="1043">AB44-AA44</f>
        <v>116841.07806414831</v>
      </c>
      <c r="AC45" s="10">
        <f t="shared" ref="AC45" si="1044">AC44-AB44</f>
        <v>118593.69423510972</v>
      </c>
      <c r="AD45" s="10">
        <f t="shared" ref="AD45" si="1045">AD44-AC44</f>
        <v>120372.59964863677</v>
      </c>
      <c r="AE45" s="10">
        <f t="shared" ref="AE45" si="1046">AE44-AD44</f>
        <v>122178.1886433661</v>
      </c>
      <c r="AF45" s="12">
        <f t="shared" ref="AF45" si="1047">AVERAGE(B45:AE45)</f>
        <v>99274.158671650352</v>
      </c>
      <c r="AG45" s="9"/>
      <c r="AH45" s="8">
        <f t="shared" si="794"/>
        <v>1848484.8344661295</v>
      </c>
      <c r="AI45" s="8"/>
      <c r="AJ45" s="8"/>
    </row>
    <row r="46" spans="1:36" x14ac:dyDescent="0.25">
      <c r="A46" s="10">
        <f t="shared" ref="A46" si="1048">AE44</f>
        <v>8267390.7648678375</v>
      </c>
      <c r="B46" s="10">
        <f t="shared" ref="B46" si="1049">A46*$J$4</f>
        <v>8391401.6263408549</v>
      </c>
      <c r="C46" s="10">
        <f t="shared" ref="C46" si="1050">B46*$J$4</f>
        <v>8517272.6507359669</v>
      </c>
      <c r="D46" s="10">
        <f t="shared" ref="D46" si="1051">C46*$J$4</f>
        <v>8645031.7404970061</v>
      </c>
      <c r="E46" s="10">
        <f t="shared" ref="E46" si="1052">D46*$J$4</f>
        <v>8774707.21660446</v>
      </c>
      <c r="F46" s="10">
        <f t="shared" ref="F46" si="1053">E46*$J$4</f>
        <v>8906327.8248535264</v>
      </c>
      <c r="G46" s="10">
        <f t="shared" ref="G46" si="1054">F46*$J$4</f>
        <v>9039922.7422263287</v>
      </c>
      <c r="H46" s="10">
        <f t="shared" ref="H46" si="1055">G46*$J$4</f>
        <v>9175521.583359722</v>
      </c>
      <c r="I46" s="10">
        <f t="shared" ref="I46" si="1056">H46*$J$4</f>
        <v>9313154.4071101174</v>
      </c>
      <c r="J46" s="10">
        <f t="shared" ref="J46" si="1057">I46*$J$4</f>
        <v>9452851.7232167684</v>
      </c>
      <c r="K46" s="10">
        <f t="shared" ref="K46" si="1058">J46*$J$4</f>
        <v>9594644.4990650192</v>
      </c>
      <c r="L46" s="10">
        <f t="shared" ref="L46" si="1059">K46*$J$4</f>
        <v>9738564.1665509939</v>
      </c>
      <c r="M46" s="10">
        <f t="shared" ref="M46" si="1060">L46*$J$4</f>
        <v>9884642.6290492583</v>
      </c>
      <c r="N46" s="10">
        <f t="shared" ref="N46" si="1061">M46*$J$4</f>
        <v>10032912.268484997</v>
      </c>
      <c r="O46" s="10">
        <f t="shared" ref="O46" si="1062">N46*$J$4</f>
        <v>10183405.95251227</v>
      </c>
      <c r="P46" s="10">
        <f t="shared" ref="P46" si="1063">O46*$J$4</f>
        <v>10336157.041799953</v>
      </c>
      <c r="Q46" s="10">
        <f t="shared" ref="Q46" si="1064">P46*$J$4</f>
        <v>10491199.397426952</v>
      </c>
      <c r="R46" s="10">
        <f t="shared" ref="R46" si="1065">Q46*$J$4</f>
        <v>10648567.388388354</v>
      </c>
      <c r="S46" s="10">
        <f t="shared" ref="S46" si="1066">R46*$J$4</f>
        <v>10808295.899214178</v>
      </c>
      <c r="T46" s="10">
        <f t="shared" ref="T46" si="1067">S46*$J$4</f>
        <v>10970420.33770239</v>
      </c>
      <c r="U46" s="10">
        <f t="shared" ref="U46" si="1068">T46*$J$4</f>
        <v>11134976.642767925</v>
      </c>
      <c r="V46" s="10">
        <f t="shared" ref="V46" si="1069">U46*$J$4</f>
        <v>11302001.292409442</v>
      </c>
      <c r="W46" s="10">
        <f t="shared" ref="W46" si="1070">V46*$J$4</f>
        <v>11471531.311795583</v>
      </c>
      <c r="X46" s="10">
        <f t="shared" ref="X46" si="1071">W46*$J$4</f>
        <v>11643604.281472515</v>
      </c>
      <c r="Y46" s="10">
        <f t="shared" ref="Y46" si="1072">X46*$J$4</f>
        <v>11818258.345694602</v>
      </c>
      <c r="Z46" s="10">
        <f t="shared" ref="Z46" si="1073">Y46*$J$4</f>
        <v>11995532.220880019</v>
      </c>
      <c r="AA46" s="10">
        <f t="shared" ref="AA46" si="1074">Z46*$J$4</f>
        <v>12175465.204193218</v>
      </c>
      <c r="AB46" s="10">
        <f t="shared" ref="AB46" si="1075">AA46*$J$4</f>
        <v>12358097.182256116</v>
      </c>
      <c r="AC46" s="10">
        <f t="shared" ref="AC46" si="1076">AB46*$J$4</f>
        <v>12543468.639989955</v>
      </c>
      <c r="AD46" s="10">
        <f t="shared" ref="AD46" si="1077">AC46*$J$4</f>
        <v>12731620.669589803</v>
      </c>
      <c r="AE46" s="10">
        <f t="shared" ref="AE46" si="1078">AD46*$J$4</f>
        <v>12922594.979633648</v>
      </c>
      <c r="AF46" s="11">
        <f t="shared" ref="AF46" si="1079">AE46-A46</f>
        <v>4655204.2147658104</v>
      </c>
      <c r="AG46" s="9"/>
      <c r="AH46" s="8">
        <f t="shared" si="794"/>
        <v>86679902.478939399</v>
      </c>
      <c r="AI46" s="8" t="s">
        <v>19</v>
      </c>
      <c r="AJ46" s="8">
        <f t="shared" ref="AJ46" si="1080">18.6*AE46</f>
        <v>240360266.62118587</v>
      </c>
    </row>
    <row r="47" spans="1:36" x14ac:dyDescent="0.25">
      <c r="A47" s="10"/>
      <c r="B47" s="10">
        <f t="shared" ref="B47" si="1081">B46-A46</f>
        <v>124010.86147301737</v>
      </c>
      <c r="C47" s="10">
        <f t="shared" ref="C47" si="1082">C46-B46</f>
        <v>125871.02439511195</v>
      </c>
      <c r="D47" s="10">
        <f t="shared" ref="D47" si="1083">D46-C46</f>
        <v>127759.08976103924</v>
      </c>
      <c r="E47" s="10">
        <f t="shared" ref="E47" si="1084">E46-D46</f>
        <v>129675.47610745393</v>
      </c>
      <c r="F47" s="10">
        <f t="shared" ref="F47" si="1085">F46-E46</f>
        <v>131620.6082490664</v>
      </c>
      <c r="G47" s="10">
        <f t="shared" ref="G47" si="1086">G46-F46</f>
        <v>133594.91737280227</v>
      </c>
      <c r="H47" s="10">
        <f t="shared" ref="H47" si="1087">H46-G46</f>
        <v>135598.84113339335</v>
      </c>
      <c r="I47" s="10">
        <f t="shared" ref="I47" si="1088">I46-H46</f>
        <v>137632.82375039533</v>
      </c>
      <c r="J47" s="10">
        <f t="shared" ref="J47" si="1089">J46-I46</f>
        <v>139697.31610665098</v>
      </c>
      <c r="K47" s="10">
        <f t="shared" ref="K47" si="1090">K46-J46</f>
        <v>141792.77584825084</v>
      </c>
      <c r="L47" s="10">
        <f t="shared" ref="L47" si="1091">L46-K46</f>
        <v>143919.66748597473</v>
      </c>
      <c r="M47" s="10">
        <f t="shared" ref="M47" si="1092">M46-L46</f>
        <v>146078.46249826439</v>
      </c>
      <c r="N47" s="10">
        <f t="shared" ref="N47" si="1093">N46-M46</f>
        <v>148269.63943573833</v>
      </c>
      <c r="O47" s="10">
        <f t="shared" ref="O47" si="1094">O46-N46</f>
        <v>150493.68402727321</v>
      </c>
      <c r="P47" s="10">
        <f t="shared" ref="P47" si="1095">P46-O46</f>
        <v>152751.08928768337</v>
      </c>
      <c r="Q47" s="10">
        <f t="shared" ref="Q47" si="1096">Q46-P46</f>
        <v>155042.35562699847</v>
      </c>
      <c r="R47" s="10">
        <f t="shared" ref="R47" si="1097">R46-Q46</f>
        <v>157367.99096140265</v>
      </c>
      <c r="S47" s="10">
        <f t="shared" ref="S47" si="1098">S46-R46</f>
        <v>159728.51082582399</v>
      </c>
      <c r="T47" s="10">
        <f t="shared" ref="T47" si="1099">T46-S46</f>
        <v>162124.43848821148</v>
      </c>
      <c r="U47" s="10">
        <f t="shared" ref="U47" si="1100">U46-T46</f>
        <v>164556.30506553501</v>
      </c>
      <c r="V47" s="10">
        <f t="shared" ref="V47" si="1101">V46-U46</f>
        <v>167024.64964151755</v>
      </c>
      <c r="W47" s="10">
        <f t="shared" ref="W47" si="1102">W46-V46</f>
        <v>169530.01938614063</v>
      </c>
      <c r="X47" s="10">
        <f t="shared" ref="X47" si="1103">X46-W46</f>
        <v>172072.96967693232</v>
      </c>
      <c r="Y47" s="10">
        <f t="shared" ref="Y47" si="1104">Y46-X46</f>
        <v>174654.06422208622</v>
      </c>
      <c r="Z47" s="10">
        <f t="shared" ref="Z47" si="1105">Z46-Y46</f>
        <v>177273.87518541701</v>
      </c>
      <c r="AA47" s="10">
        <f t="shared" ref="AA47" si="1106">AA46-Z46</f>
        <v>179932.98331319913</v>
      </c>
      <c r="AB47" s="10">
        <f t="shared" ref="AB47" si="1107">AB46-AA46</f>
        <v>182631.97806289792</v>
      </c>
      <c r="AC47" s="10">
        <f t="shared" ref="AC47" si="1108">AC46-AB46</f>
        <v>185371.45773383975</v>
      </c>
      <c r="AD47" s="10">
        <f t="shared" ref="AD47" si="1109">AD46-AC46</f>
        <v>188152.02959984727</v>
      </c>
      <c r="AE47" s="10">
        <f t="shared" ref="AE47" si="1110">AE46-AD46</f>
        <v>190974.31004384533</v>
      </c>
      <c r="AF47" s="12">
        <f t="shared" ref="AF47" si="1111">AVERAGE(B47:AE47)</f>
        <v>155173.47382552701</v>
      </c>
      <c r="AG47" s="9"/>
      <c r="AH47" s="8">
        <f t="shared" si="794"/>
        <v>2889330.0826313128</v>
      </c>
      <c r="AI47" s="8"/>
      <c r="AJ47" s="8"/>
    </row>
    <row r="48" spans="1:36" x14ac:dyDescent="0.25">
      <c r="A48" s="10">
        <f t="shared" ref="A48" si="1112">AE46</f>
        <v>12922594.979633648</v>
      </c>
      <c r="B48" s="10">
        <f t="shared" ref="B48:B54" si="1113">A48*$J$4</f>
        <v>13116433.904328151</v>
      </c>
      <c r="C48" s="10">
        <f t="shared" ref="C48" si="1114">B48*$J$4</f>
        <v>13313180.412893072</v>
      </c>
      <c r="D48" s="10">
        <f t="shared" ref="D48" si="1115">C48*$J$4</f>
        <v>13512878.119086467</v>
      </c>
      <c r="E48" s="10">
        <f t="shared" ref="E48" si="1116">D48*$J$4</f>
        <v>13715571.290872762</v>
      </c>
      <c r="F48" s="10">
        <f t="shared" ref="F48" si="1117">E48*$J$4</f>
        <v>13921304.860235851</v>
      </c>
      <c r="G48" s="10">
        <f t="shared" ref="G48" si="1118">F48*$J$4</f>
        <v>14130124.433139388</v>
      </c>
      <c r="H48" s="10">
        <f t="shared" ref="H48" si="1119">G48*$J$4</f>
        <v>14342076.299636478</v>
      </c>
      <c r="I48" s="10">
        <f t="shared" ref="I48" si="1120">H48*$J$4</f>
        <v>14557207.444131024</v>
      </c>
      <c r="J48" s="10">
        <f t="shared" ref="J48" si="1121">I48*$J$4</f>
        <v>14775565.555792987</v>
      </c>
      <c r="K48" s="10">
        <f t="shared" ref="K48" si="1122">J48*$J$4</f>
        <v>14997199.039129881</v>
      </c>
      <c r="L48" s="10">
        <f t="shared" ref="L48" si="1123">K48*$J$4</f>
        <v>15222157.024716828</v>
      </c>
      <c r="M48" s="10">
        <f t="shared" ref="M48" si="1124">L48*$J$4</f>
        <v>15450489.380087579</v>
      </c>
      <c r="N48" s="10">
        <f t="shared" ref="N48" si="1125">M48*$J$4</f>
        <v>15682246.72078889</v>
      </c>
      <c r="O48" s="10">
        <f t="shared" ref="O48" si="1126">N48*$J$4</f>
        <v>15917480.421600722</v>
      </c>
      <c r="P48" s="10">
        <f t="shared" ref="P48" si="1127">O48*$J$4</f>
        <v>16156242.627924731</v>
      </c>
      <c r="Q48" s="10">
        <f t="shared" ref="Q48" si="1128">P48*$J$4</f>
        <v>16398586.267343601</v>
      </c>
      <c r="R48" s="10">
        <f t="shared" ref="R48" si="1129">Q48*$J$4</f>
        <v>16644565.061353754</v>
      </c>
      <c r="S48" s="10">
        <f t="shared" ref="S48" si="1130">R48*$J$4</f>
        <v>16894233.537274059</v>
      </c>
      <c r="T48" s="10">
        <f t="shared" ref="T48" si="1131">S48*$J$4</f>
        <v>17147647.040333167</v>
      </c>
      <c r="U48" s="10">
        <f t="shared" ref="U48" si="1132">T48*$J$4</f>
        <v>17404861.745938163</v>
      </c>
      <c r="V48" s="10">
        <f t="shared" ref="V48" si="1133">U48*$J$4</f>
        <v>17665934.672127236</v>
      </c>
      <c r="W48" s="10">
        <f t="shared" ref="W48" si="1134">V48*$J$4</f>
        <v>17930923.692209143</v>
      </c>
      <c r="X48" s="10">
        <f t="shared" ref="X48" si="1135">W48*$J$4</f>
        <v>18199887.547592279</v>
      </c>
      <c r="Y48" s="10">
        <f t="shared" ref="Y48" si="1136">X48*$J$4</f>
        <v>18472885.86080616</v>
      </c>
      <c r="Z48" s="10">
        <f t="shared" ref="Z48" si="1137">Y48*$J$4</f>
        <v>18749979.148718249</v>
      </c>
      <c r="AA48" s="10">
        <f t="shared" ref="AA48" si="1138">Z48*$J$4</f>
        <v>19031228.835949022</v>
      </c>
      <c r="AB48" s="10">
        <f t="shared" ref="AB48" si="1139">AA48*$J$4</f>
        <v>19316697.268488254</v>
      </c>
      <c r="AC48" s="10">
        <f t="shared" ref="AC48" si="1140">AB48*$J$4</f>
        <v>19606447.727515575</v>
      </c>
      <c r="AD48" s="10">
        <f t="shared" ref="AD48" si="1141">AC48*$J$4</f>
        <v>19900544.443428308</v>
      </c>
      <c r="AE48" s="10">
        <f t="shared" ref="AE48" si="1142">AD48*$J$4</f>
        <v>20199052.610079732</v>
      </c>
      <c r="AF48" s="11">
        <f t="shared" ref="AF48" si="1143">AE48-A48</f>
        <v>7276457.6304460838</v>
      </c>
      <c r="AG48" s="9"/>
      <c r="AH48" s="8">
        <f t="shared" si="794"/>
        <v>135487641.07890609</v>
      </c>
      <c r="AI48" s="8" t="s">
        <v>20</v>
      </c>
      <c r="AJ48" s="8">
        <f t="shared" ref="AJ48" si="1144">18.6*AE48</f>
        <v>375702378.54748303</v>
      </c>
    </row>
    <row r="49" spans="1:36" x14ac:dyDescent="0.25">
      <c r="A49" s="10"/>
      <c r="B49" s="10">
        <f t="shared" ref="B49" si="1145">B48-A48</f>
        <v>193838.92469450273</v>
      </c>
      <c r="C49" s="10">
        <f t="shared" ref="C49" si="1146">C48-B48</f>
        <v>196746.5085649211</v>
      </c>
      <c r="D49" s="10">
        <f t="shared" ref="D49" si="1147">D48-C48</f>
        <v>199697.70619339496</v>
      </c>
      <c r="E49" s="10">
        <f t="shared" ref="E49" si="1148">E48-D48</f>
        <v>202693.17178629525</v>
      </c>
      <c r="F49" s="10">
        <f t="shared" ref="F49" si="1149">F48-E48</f>
        <v>205733.56936308928</v>
      </c>
      <c r="G49" s="10">
        <f t="shared" ref="G49" si="1150">G48-F48</f>
        <v>208819.57290353626</v>
      </c>
      <c r="H49" s="10">
        <f t="shared" ref="H49" si="1151">H48-G48</f>
        <v>211951.86649709009</v>
      </c>
      <c r="I49" s="10">
        <f t="shared" ref="I49" si="1152">I48-H48</f>
        <v>215131.14449454658</v>
      </c>
      <c r="J49" s="10">
        <f t="shared" ref="J49" si="1153">J48-I48</f>
        <v>218358.11166196316</v>
      </c>
      <c r="K49" s="10">
        <f t="shared" ref="K49" si="1154">K48-J48</f>
        <v>221633.48333689384</v>
      </c>
      <c r="L49" s="10">
        <f t="shared" ref="L49" si="1155">L48-K48</f>
        <v>224957.98558694683</v>
      </c>
      <c r="M49" s="10">
        <f t="shared" ref="M49" si="1156">M48-L48</f>
        <v>228332.35537075065</v>
      </c>
      <c r="N49" s="10">
        <f t="shared" ref="N49" si="1157">N48-M48</f>
        <v>231757.34070131183</v>
      </c>
      <c r="O49" s="10">
        <f t="shared" ref="O49" si="1158">O48-N48</f>
        <v>235233.70081183128</v>
      </c>
      <c r="P49" s="10">
        <f t="shared" ref="P49" si="1159">P48-O48</f>
        <v>238762.20632400922</v>
      </c>
      <c r="Q49" s="10">
        <f t="shared" ref="Q49" si="1160">Q48-P48</f>
        <v>242343.63941887021</v>
      </c>
      <c r="R49" s="10">
        <f t="shared" ref="R49" si="1161">R48-Q48</f>
        <v>245978.79401015304</v>
      </c>
      <c r="S49" s="10">
        <f t="shared" ref="S49" si="1162">S48-R48</f>
        <v>249668.47592030466</v>
      </c>
      <c r="T49" s="10">
        <f t="shared" ref="T49" si="1163">T48-S48</f>
        <v>253413.50305910781</v>
      </c>
      <c r="U49" s="10">
        <f t="shared" ref="U49" si="1164">U48-T48</f>
        <v>257214.70560499653</v>
      </c>
      <c r="V49" s="10">
        <f t="shared" ref="V49" si="1165">V48-U48</f>
        <v>261072.92618907243</v>
      </c>
      <c r="W49" s="10">
        <f t="shared" ref="W49" si="1166">W48-V48</f>
        <v>264989.02008190751</v>
      </c>
      <c r="X49" s="10">
        <f t="shared" ref="X49" si="1167">X48-W48</f>
        <v>268963.85538313538</v>
      </c>
      <c r="Y49" s="10">
        <f t="shared" ref="Y49" si="1168">Y48-X48</f>
        <v>272998.31321388111</v>
      </c>
      <c r="Z49" s="10">
        <f t="shared" ref="Z49" si="1169">Z48-Y48</f>
        <v>277093.28791208938</v>
      </c>
      <c r="AA49" s="10">
        <f t="shared" ref="AA49" si="1170">AA48-Z48</f>
        <v>281249.68723077327</v>
      </c>
      <c r="AB49" s="10">
        <f t="shared" ref="AB49" si="1171">AB48-AA48</f>
        <v>285468.43253923208</v>
      </c>
      <c r="AC49" s="10">
        <f t="shared" ref="AC49" si="1172">AC48-AB48</f>
        <v>289750.45902732015</v>
      </c>
      <c r="AD49" s="10">
        <f t="shared" ref="AD49" si="1173">AD48-AC48</f>
        <v>294096.71591273323</v>
      </c>
      <c r="AE49" s="10">
        <f t="shared" ref="AE49" si="1174">AE48-AD48</f>
        <v>298508.16665142402</v>
      </c>
      <c r="AF49" s="12">
        <f t="shared" ref="AF49" si="1175">AVERAGE(B49:AE49)</f>
        <v>242548.58768153613</v>
      </c>
      <c r="AG49" s="9"/>
      <c r="AH49" s="8">
        <f t="shared" si="794"/>
        <v>4516254.7026302032</v>
      </c>
      <c r="AI49" s="8"/>
      <c r="AJ49" s="8"/>
    </row>
    <row r="50" spans="1:36" x14ac:dyDescent="0.25">
      <c r="A50" s="10">
        <f t="shared" ref="A50" si="1176">AE48</f>
        <v>20199052.610079732</v>
      </c>
      <c r="B50" s="10">
        <f t="shared" si="1113"/>
        <v>20502038.399230927</v>
      </c>
      <c r="C50" s="10">
        <f t="shared" ref="C50" si="1177">B50*$J$4</f>
        <v>20809568.975219388</v>
      </c>
      <c r="D50" s="10">
        <f t="shared" ref="D50" si="1178">C50*$J$4</f>
        <v>21121712.509847675</v>
      </c>
      <c r="E50" s="10">
        <f t="shared" ref="E50" si="1179">D50*$J$4</f>
        <v>21438538.197495386</v>
      </c>
      <c r="F50" s="10">
        <f t="shared" ref="F50" si="1180">E50*$J$4</f>
        <v>21760116.270457815</v>
      </c>
      <c r="G50" s="10">
        <f t="shared" ref="G50" si="1181">F50*$J$4</f>
        <v>22086518.014514681</v>
      </c>
      <c r="H50" s="10">
        <f t="shared" ref="H50" si="1182">G50*$J$4</f>
        <v>22417815.784732398</v>
      </c>
      <c r="I50" s="10">
        <f t="shared" ref="I50" si="1183">H50*$J$4</f>
        <v>22754083.021503381</v>
      </c>
      <c r="J50" s="10">
        <f t="shared" ref="J50" si="1184">I50*$J$4</f>
        <v>23095394.266825929</v>
      </c>
      <c r="K50" s="10">
        <f t="shared" ref="K50" si="1185">J50*$J$4</f>
        <v>23441825.180828314</v>
      </c>
      <c r="L50" s="10">
        <f t="shared" ref="L50" si="1186">K50*$J$4</f>
        <v>23793452.558540735</v>
      </c>
      <c r="M50" s="10">
        <f t="shared" ref="M50" si="1187">L50*$J$4</f>
        <v>24150354.346918844</v>
      </c>
      <c r="N50" s="10">
        <f t="shared" ref="N50" si="1188">M50*$J$4</f>
        <v>24512609.662122622</v>
      </c>
      <c r="O50" s="10">
        <f t="shared" ref="O50" si="1189">N50*$J$4</f>
        <v>24880298.80705446</v>
      </c>
      <c r="P50" s="10">
        <f t="shared" ref="P50" si="1190">O50*$J$4</f>
        <v>25253503.289160274</v>
      </c>
      <c r="Q50" s="10">
        <f t="shared" ref="Q50" si="1191">P50*$J$4</f>
        <v>25632305.838497676</v>
      </c>
      <c r="R50" s="10">
        <f t="shared" ref="R50" si="1192">Q50*$J$4</f>
        <v>26016790.426075138</v>
      </c>
      <c r="S50" s="10">
        <f t="shared" ref="S50" si="1193">R50*$J$4</f>
        <v>26407042.282466263</v>
      </c>
      <c r="T50" s="10">
        <f t="shared" ref="T50" si="1194">S50*$J$4</f>
        <v>26803147.916703254</v>
      </c>
      <c r="U50" s="10">
        <f t="shared" ref="U50" si="1195">T50*$J$4</f>
        <v>27205195.135453802</v>
      </c>
      <c r="V50" s="10">
        <f t="shared" ref="V50" si="1196">U50*$J$4</f>
        <v>27613273.062485605</v>
      </c>
      <c r="W50" s="10">
        <f t="shared" ref="W50" si="1197">V50*$J$4</f>
        <v>28027472.158422887</v>
      </c>
      <c r="X50" s="10">
        <f t="shared" ref="X50" si="1198">W50*$J$4</f>
        <v>28447884.24079923</v>
      </c>
      <c r="Y50" s="10">
        <f t="shared" ref="Y50" si="1199">X50*$J$4</f>
        <v>28874602.504411217</v>
      </c>
      <c r="Z50" s="10">
        <f t="shared" ref="Z50" si="1200">Y50*$J$4</f>
        <v>29307721.541977383</v>
      </c>
      <c r="AA50" s="10">
        <f t="shared" ref="AA50" si="1201">Z50*$J$4</f>
        <v>29747337.365107041</v>
      </c>
      <c r="AB50" s="10">
        <f t="shared" ref="AB50" si="1202">AA50*$J$4</f>
        <v>30193547.425583642</v>
      </c>
      <c r="AC50" s="10">
        <f t="shared" ref="AC50" si="1203">AB50*$J$4</f>
        <v>30646450.636967395</v>
      </c>
      <c r="AD50" s="10">
        <f t="shared" ref="AD50" si="1204">AC50*$J$4</f>
        <v>31106147.396521904</v>
      </c>
      <c r="AE50" s="10">
        <f t="shared" ref="AE50" si="1205">AD50*$J$4</f>
        <v>31572739.60746973</v>
      </c>
      <c r="AF50" s="11">
        <f t="shared" ref="AF50" si="1206">AE50-A50</f>
        <v>11373686.997389998</v>
      </c>
      <c r="AG50" s="9"/>
      <c r="AH50" s="8">
        <f t="shared" si="794"/>
        <v>211778051.89140177</v>
      </c>
      <c r="AI50" s="8" t="s">
        <v>21</v>
      </c>
      <c r="AJ50" s="8">
        <f t="shared" ref="AJ50" si="1207">18.6*AE50</f>
        <v>587252956.69893706</v>
      </c>
    </row>
    <row r="51" spans="1:36" x14ac:dyDescent="0.25">
      <c r="A51" s="10"/>
      <c r="B51" s="10">
        <f t="shared" ref="B51" si="1208">B50-A50</f>
        <v>302985.78915119544</v>
      </c>
      <c r="C51" s="10">
        <f t="shared" ref="C51" si="1209">C50-B50</f>
        <v>307530.57598846033</v>
      </c>
      <c r="D51" s="10">
        <f t="shared" ref="D51" si="1210">D50-C50</f>
        <v>312143.53462828696</v>
      </c>
      <c r="E51" s="10">
        <f t="shared" ref="E51" si="1211">E50-D50</f>
        <v>316825.68764771149</v>
      </c>
      <c r="F51" s="10">
        <f t="shared" ref="F51" si="1212">F50-E50</f>
        <v>321578.07296242937</v>
      </c>
      <c r="G51" s="10">
        <f t="shared" ref="G51" si="1213">G50-F50</f>
        <v>326401.74405686557</v>
      </c>
      <c r="H51" s="10">
        <f t="shared" ref="H51" si="1214">H50-G50</f>
        <v>331297.77021771669</v>
      </c>
      <c r="I51" s="10">
        <f t="shared" ref="I51" si="1215">I50-H50</f>
        <v>336267.23677098379</v>
      </c>
      <c r="J51" s="10">
        <f t="shared" ref="J51" si="1216">J50-I50</f>
        <v>341311.24532254785</v>
      </c>
      <c r="K51" s="10">
        <f t="shared" ref="K51" si="1217">K50-J50</f>
        <v>346430.91400238499</v>
      </c>
      <c r="L51" s="10">
        <f t="shared" ref="L51" si="1218">L50-K50</f>
        <v>351627.37771242112</v>
      </c>
      <c r="M51" s="10">
        <f t="shared" ref="M51" si="1219">M50-L50</f>
        <v>356901.78837810829</v>
      </c>
      <c r="N51" s="10">
        <f t="shared" ref="N51" si="1220">N50-M50</f>
        <v>362255.31520377845</v>
      </c>
      <c r="O51" s="10">
        <f t="shared" ref="O51" si="1221">O50-N50</f>
        <v>367689.14493183792</v>
      </c>
      <c r="P51" s="10">
        <f t="shared" ref="P51" si="1222">P50-O50</f>
        <v>373204.48210581392</v>
      </c>
      <c r="Q51" s="10">
        <f t="shared" ref="Q51" si="1223">Q50-P50</f>
        <v>378802.54933740199</v>
      </c>
      <c r="R51" s="10">
        <f t="shared" ref="R51" si="1224">R50-Q50</f>
        <v>384484.5875774622</v>
      </c>
      <c r="S51" s="10">
        <f t="shared" ref="S51" si="1225">S50-R50</f>
        <v>390251.85639112443</v>
      </c>
      <c r="T51" s="10">
        <f t="shared" ref="T51" si="1226">T50-S50</f>
        <v>396105.63423699141</v>
      </c>
      <c r="U51" s="10">
        <f t="shared" ref="U51" si="1227">U50-T50</f>
        <v>402047.21875054762</v>
      </c>
      <c r="V51" s="10">
        <f t="shared" ref="V51" si="1228">V50-U50</f>
        <v>408077.92703180388</v>
      </c>
      <c r="W51" s="10">
        <f t="shared" ref="W51" si="1229">W50-V50</f>
        <v>414199.09593728185</v>
      </c>
      <c r="X51" s="10">
        <f t="shared" ref="X51" si="1230">X50-W50</f>
        <v>420412.08237634227</v>
      </c>
      <c r="Y51" s="10">
        <f t="shared" ref="Y51" si="1231">Y50-X50</f>
        <v>426718.26361198723</v>
      </c>
      <c r="Z51" s="10">
        <f t="shared" ref="Z51" si="1232">Z50-Y50</f>
        <v>433119.03756616637</v>
      </c>
      <c r="AA51" s="10">
        <f t="shared" ref="AA51" si="1233">AA50-Z50</f>
        <v>439615.82312965766</v>
      </c>
      <c r="AB51" s="10">
        <f t="shared" ref="AB51" si="1234">AB50-AA50</f>
        <v>446210.06047660112</v>
      </c>
      <c r="AC51" s="10">
        <f t="shared" ref="AC51" si="1235">AC50-AB50</f>
        <v>452903.21138375252</v>
      </c>
      <c r="AD51" s="10">
        <f t="shared" ref="AD51" si="1236">AD50-AC50</f>
        <v>459696.75955450907</v>
      </c>
      <c r="AE51" s="10">
        <f t="shared" ref="AE51" si="1237">AE50-AD50</f>
        <v>466592.2109478265</v>
      </c>
      <c r="AF51" s="12">
        <f t="shared" ref="AF51" si="1238">AVERAGE(B51:AE51)</f>
        <v>379122.89991299994</v>
      </c>
      <c r="AG51" s="9"/>
      <c r="AH51" s="8">
        <f t="shared" si="794"/>
        <v>7059268.3963800594</v>
      </c>
      <c r="AI51" s="8"/>
      <c r="AJ51" s="8"/>
    </row>
    <row r="52" spans="1:36" x14ac:dyDescent="0.25">
      <c r="A52" s="10">
        <f t="shared" ref="A52" si="1239">AE50</f>
        <v>31572739.60746973</v>
      </c>
      <c r="B52" s="10">
        <f t="shared" si="1113"/>
        <v>32046330.701581772</v>
      </c>
      <c r="C52" s="10">
        <f t="shared" ref="C52" si="1240">B52*$J$4</f>
        <v>32527025.662105497</v>
      </c>
      <c r="D52" s="10">
        <f t="shared" ref="D52" si="1241">C52*$J$4</f>
        <v>33014931.047037076</v>
      </c>
      <c r="E52" s="10">
        <f t="shared" ref="E52" si="1242">D52*$J$4</f>
        <v>33510155.012742627</v>
      </c>
      <c r="F52" s="10">
        <f t="shared" ref="F52" si="1243">E52*$J$4</f>
        <v>34012807.337933764</v>
      </c>
      <c r="G52" s="10">
        <f t="shared" ref="G52" si="1244">F52*$J$4</f>
        <v>34522999.448002771</v>
      </c>
      <c r="H52" s="10">
        <f t="shared" ref="H52" si="1245">G52*$J$4</f>
        <v>35040844.439722806</v>
      </c>
      <c r="I52" s="10">
        <f t="shared" ref="I52" si="1246">H52*$J$4</f>
        <v>35566457.106318645</v>
      </c>
      <c r="J52" s="10">
        <f t="shared" ref="J52" si="1247">I52*$J$4</f>
        <v>36099953.962913424</v>
      </c>
      <c r="K52" s="10">
        <f t="shared" ref="K52" si="1248">J52*$J$4</f>
        <v>36641453.272357121</v>
      </c>
      <c r="L52" s="10">
        <f t="shared" ref="L52" si="1249">K52*$J$4</f>
        <v>37191075.071442477</v>
      </c>
      <c r="M52" s="10">
        <f t="shared" ref="M52" si="1250">L52*$J$4</f>
        <v>37748941.197514109</v>
      </c>
      <c r="N52" s="10">
        <f t="shared" ref="N52" si="1251">M52*$J$4</f>
        <v>38315175.31547682</v>
      </c>
      <c r="O52" s="10">
        <f t="shared" ref="O52" si="1252">N52*$J$4</f>
        <v>38889902.945208967</v>
      </c>
      <c r="P52" s="10">
        <f t="shared" ref="P52" si="1253">O52*$J$4</f>
        <v>39473251.489387095</v>
      </c>
      <c r="Q52" s="10">
        <f t="shared" ref="Q52" si="1254">P52*$J$4</f>
        <v>40065350.261727899</v>
      </c>
      <c r="R52" s="10">
        <f t="shared" ref="R52" si="1255">Q52*$J$4</f>
        <v>40666330.515653811</v>
      </c>
      <c r="S52" s="10">
        <f t="shared" ref="S52" si="1256">R52*$J$4</f>
        <v>41276325.473388612</v>
      </c>
      <c r="T52" s="10">
        <f t="shared" ref="T52" si="1257">S52*$J$4</f>
        <v>41895470.35548944</v>
      </c>
      <c r="U52" s="10">
        <f t="shared" ref="U52" si="1258">T52*$J$4</f>
        <v>42523902.410821781</v>
      </c>
      <c r="V52" s="10">
        <f t="shared" ref="V52" si="1259">U52*$J$4</f>
        <v>43161760.946984105</v>
      </c>
      <c r="W52" s="10">
        <f t="shared" ref="W52" si="1260">V52*$J$4</f>
        <v>43809187.361188859</v>
      </c>
      <c r="X52" s="10">
        <f t="shared" ref="X52" si="1261">W52*$J$4</f>
        <v>44466325.17160669</v>
      </c>
      <c r="Y52" s="10">
        <f t="shared" ref="Y52" si="1262">X52*$J$4</f>
        <v>45133320.049180783</v>
      </c>
      <c r="Z52" s="10">
        <f t="shared" ref="Z52" si="1263">Y52*$J$4</f>
        <v>45810319.849918492</v>
      </c>
      <c r="AA52" s="10">
        <f t="shared" ref="AA52" si="1264">Z52*$J$4</f>
        <v>46497474.647667266</v>
      </c>
      <c r="AB52" s="10">
        <f t="shared" ref="AB52" si="1265">AA52*$J$4</f>
        <v>47194936.767382272</v>
      </c>
      <c r="AC52" s="10">
        <f t="shared" ref="AC52" si="1266">AB52*$J$4</f>
        <v>47902860.818893</v>
      </c>
      <c r="AD52" s="10">
        <f t="shared" ref="AD52" si="1267">AC52*$J$4</f>
        <v>48621403.731176391</v>
      </c>
      <c r="AE52" s="10">
        <f t="shared" ref="AE52" si="1268">AD52*$J$4</f>
        <v>49350724.787144035</v>
      </c>
      <c r="AF52" s="11">
        <f t="shared" ref="AF52" si="1269">AE52-A52</f>
        <v>17777985.179674305</v>
      </c>
      <c r="AG52" s="9"/>
      <c r="AH52" s="8">
        <f t="shared" si="794"/>
        <v>331026084.04553556</v>
      </c>
      <c r="AI52" s="8" t="s">
        <v>22</v>
      </c>
      <c r="AJ52" s="8">
        <f t="shared" ref="AJ52" si="1270">18.6*AE52</f>
        <v>917923481.04087913</v>
      </c>
    </row>
    <row r="53" spans="1:36" x14ac:dyDescent="0.25">
      <c r="A53" s="10"/>
      <c r="B53" s="10">
        <f t="shared" ref="B53" si="1271">B52-A52</f>
        <v>473591.09411204234</v>
      </c>
      <c r="C53" s="10">
        <f t="shared" ref="C53" si="1272">C52-B52</f>
        <v>480694.96052372456</v>
      </c>
      <c r="D53" s="10">
        <f t="shared" ref="D53" si="1273">D52-C52</f>
        <v>487905.38493157923</v>
      </c>
      <c r="E53" s="10">
        <f t="shared" ref="E53" si="1274">E52-D52</f>
        <v>495223.96570555121</v>
      </c>
      <c r="F53" s="10">
        <f t="shared" ref="F53" si="1275">F52-E52</f>
        <v>502652.32519113645</v>
      </c>
      <c r="G53" s="10">
        <f t="shared" ref="G53" si="1276">G52-F52</f>
        <v>510192.11006900668</v>
      </c>
      <c r="H53" s="10">
        <f t="shared" ref="H53" si="1277">H52-G52</f>
        <v>517844.99172003567</v>
      </c>
      <c r="I53" s="10">
        <f t="shared" ref="I53" si="1278">I52-H52</f>
        <v>525612.66659583896</v>
      </c>
      <c r="J53" s="10">
        <f t="shared" ref="J53" si="1279">J52-I52</f>
        <v>533496.8565947786</v>
      </c>
      <c r="K53" s="10">
        <f t="shared" ref="K53" si="1280">K52-J52</f>
        <v>541499.30944369733</v>
      </c>
      <c r="L53" s="10">
        <f t="shared" ref="L53" si="1281">L52-K52</f>
        <v>549621.7990853563</v>
      </c>
      <c r="M53" s="10">
        <f t="shared" ref="M53" si="1282">M52-L52</f>
        <v>557866.12607163191</v>
      </c>
      <c r="N53" s="10">
        <f t="shared" ref="N53" si="1283">N52-M52</f>
        <v>566234.11796271056</v>
      </c>
      <c r="O53" s="10">
        <f t="shared" ref="O53" si="1284">O52-N52</f>
        <v>574727.62973214686</v>
      </c>
      <c r="P53" s="10">
        <f t="shared" ref="P53" si="1285">P52-O52</f>
        <v>583348.54417812824</v>
      </c>
      <c r="Q53" s="10">
        <f t="shared" ref="Q53" si="1286">Q52-P52</f>
        <v>592098.77234080434</v>
      </c>
      <c r="R53" s="10">
        <f t="shared" ref="R53" si="1287">R52-Q52</f>
        <v>600980.25392591208</v>
      </c>
      <c r="S53" s="10">
        <f t="shared" ref="S53" si="1288">S52-R52</f>
        <v>609994.95773480088</v>
      </c>
      <c r="T53" s="10">
        <f t="shared" ref="T53" si="1289">T52-S52</f>
        <v>619144.88210082799</v>
      </c>
      <c r="U53" s="10">
        <f t="shared" ref="U53" si="1290">U52-T52</f>
        <v>628432.0553323403</v>
      </c>
      <c r="V53" s="10">
        <f t="shared" ref="V53" si="1291">V52-U52</f>
        <v>637858.53616232425</v>
      </c>
      <c r="W53" s="10">
        <f t="shared" ref="W53" si="1292">W52-V52</f>
        <v>647426.41420475394</v>
      </c>
      <c r="X53" s="10">
        <f t="shared" ref="X53" si="1293">X52-W52</f>
        <v>657137.81041783094</v>
      </c>
      <c r="Y53" s="10">
        <f t="shared" ref="Y53" si="1294">Y52-X52</f>
        <v>666994.87757409364</v>
      </c>
      <c r="Z53" s="10">
        <f t="shared" ref="Z53" si="1295">Z52-Y52</f>
        <v>676999.80073770881</v>
      </c>
      <c r="AA53" s="10">
        <f t="shared" ref="AA53" si="1296">AA52-Z52</f>
        <v>687154.79774877429</v>
      </c>
      <c r="AB53" s="10">
        <f t="shared" ref="AB53" si="1297">AB52-AA52</f>
        <v>697462.11971500516</v>
      </c>
      <c r="AC53" s="10">
        <f t="shared" ref="AC53" si="1298">AC52-AB52</f>
        <v>707924.0515107289</v>
      </c>
      <c r="AD53" s="10">
        <f t="shared" ref="AD53" si="1299">AD52-AC52</f>
        <v>718542.91228339076</v>
      </c>
      <c r="AE53" s="10">
        <f t="shared" ref="AE53" si="1300">AE52-AD52</f>
        <v>729321.05596764386</v>
      </c>
      <c r="AF53" s="12">
        <f t="shared" ref="AF53" si="1301">AVERAGE(B53:AE53)</f>
        <v>592599.50598914351</v>
      </c>
      <c r="AG53" s="9"/>
      <c r="AH53" s="8">
        <f t="shared" si="794"/>
        <v>11034202.801517854</v>
      </c>
      <c r="AI53" s="8"/>
      <c r="AJ53" s="8"/>
    </row>
    <row r="54" spans="1:36" x14ac:dyDescent="0.25">
      <c r="A54" s="10">
        <f t="shared" ref="A54" si="1302">AE52</f>
        <v>49350724.787144035</v>
      </c>
      <c r="B54" s="10">
        <f t="shared" si="1113"/>
        <v>50090985.658951193</v>
      </c>
      <c r="C54" s="10">
        <f t="shared" ref="C54" si="1303">B54*$J$4</f>
        <v>50842350.44383546</v>
      </c>
      <c r="D54" s="10">
        <f t="shared" ref="D54" si="1304">C54*$J$4</f>
        <v>51604985.700492986</v>
      </c>
      <c r="E54" s="10">
        <f t="shared" ref="E54" si="1305">D54*$J$4</f>
        <v>52379060.486000374</v>
      </c>
      <c r="F54" s="10">
        <f t="shared" ref="F54" si="1306">E54*$J$4</f>
        <v>53164746.393290378</v>
      </c>
      <c r="G54" s="10">
        <f t="shared" ref="G54" si="1307">F54*$J$4</f>
        <v>53962217.589189731</v>
      </c>
      <c r="H54" s="10">
        <f t="shared" ref="H54" si="1308">G54*$J$4</f>
        <v>54771650.853027575</v>
      </c>
      <c r="I54" s="10">
        <f t="shared" ref="I54" si="1309">H54*$J$4</f>
        <v>55593225.615822986</v>
      </c>
      <c r="J54" s="10">
        <f t="shared" ref="J54" si="1310">I54*$J$4</f>
        <v>56427124.000060327</v>
      </c>
      <c r="K54" s="10">
        <f t="shared" ref="K54" si="1311">J54*$J$4</f>
        <v>57273530.860061228</v>
      </c>
      <c r="L54" s="10">
        <f t="shared" ref="L54" si="1312">K54*$J$4</f>
        <v>58132633.822962143</v>
      </c>
      <c r="M54" s="10">
        <f t="shared" ref="M54" si="1313">L54*$J$4</f>
        <v>59004623.330306567</v>
      </c>
      <c r="N54" s="10">
        <f t="shared" ref="N54" si="1314">M54*$J$4</f>
        <v>59889692.680261157</v>
      </c>
      <c r="O54" s="10">
        <f t="shared" ref="O54" si="1315">N54*$J$4</f>
        <v>60788038.070465066</v>
      </c>
      <c r="P54" s="10">
        <f t="shared" ref="P54" si="1316">O54*$J$4</f>
        <v>61699858.641522035</v>
      </c>
      <c r="Q54" s="10">
        <f t="shared" ref="Q54" si="1317">P54*$J$4</f>
        <v>62625356.521144859</v>
      </c>
      <c r="R54" s="10">
        <f t="shared" ref="R54" si="1318">Q54*$J$4</f>
        <v>63564736.868962027</v>
      </c>
      <c r="S54" s="10">
        <f t="shared" ref="S54" si="1319">R54*$J$4</f>
        <v>64518207.921996452</v>
      </c>
      <c r="T54" s="10">
        <f t="shared" ref="T54" si="1320">S54*$J$4</f>
        <v>65485981.040826395</v>
      </c>
      <c r="U54" s="10">
        <f t="shared" ref="U54" si="1321">T54*$J$4</f>
        <v>66468270.756438784</v>
      </c>
      <c r="V54" s="10">
        <f t="shared" ref="V54" si="1322">U54*$J$4</f>
        <v>67465294.817785352</v>
      </c>
      <c r="W54" s="10">
        <f t="shared" ref="W54" si="1323">V54*$J$4</f>
        <v>68477274.240052119</v>
      </c>
      <c r="X54" s="10">
        <f t="shared" ref="X54" si="1324">W54*$J$4</f>
        <v>69504433.353652894</v>
      </c>
      <c r="Y54" s="10">
        <f t="shared" ref="Y54" si="1325">X54*$J$4</f>
        <v>70546999.853957683</v>
      </c>
      <c r="Z54" s="10">
        <f t="shared" ref="Z54" si="1326">Y54*$J$4</f>
        <v>71605204.851767048</v>
      </c>
      <c r="AA54" s="10">
        <f t="shared" ref="AA54" si="1327">Z54*$J$4</f>
        <v>72679282.924543545</v>
      </c>
      <c r="AB54" s="10">
        <f t="shared" ref="AB54" si="1328">AA54*$J$4</f>
        <v>73769472.168411687</v>
      </c>
      <c r="AC54" s="10">
        <f t="shared" ref="AC54" si="1329">AB54*$J$4</f>
        <v>74876014.250937849</v>
      </c>
      <c r="AD54" s="10">
        <f t="shared" ref="AD54" si="1330">AC54*$J$4</f>
        <v>75999154.464701906</v>
      </c>
      <c r="AE54" s="10">
        <f t="shared" ref="AE54" si="1331">AD54*$J$4</f>
        <v>77139141.781672433</v>
      </c>
      <c r="AF54" s="11">
        <f t="shared" ref="AF54" si="1332">AE54-A54</f>
        <v>27788416.994528398</v>
      </c>
      <c r="AG54" s="9" t="s">
        <v>24</v>
      </c>
      <c r="AH54" s="8">
        <f t="shared" si="794"/>
        <v>517420324.43811882</v>
      </c>
      <c r="AI54" s="8" t="s">
        <v>23</v>
      </c>
      <c r="AJ54" s="8">
        <f t="shared" ref="AJ54" si="1333">18.6*AE54</f>
        <v>1434788037.1391075</v>
      </c>
    </row>
    <row r="55" spans="1:36" x14ac:dyDescent="0.25">
      <c r="AF55" s="1"/>
      <c r="AH55" s="6"/>
    </row>
    <row r="56" spans="1:36" x14ac:dyDescent="0.25">
      <c r="A56">
        <v>545</v>
      </c>
    </row>
    <row r="57" spans="1:36" x14ac:dyDescent="0.25">
      <c r="B57" t="s">
        <v>0</v>
      </c>
    </row>
    <row r="58" spans="1:36" x14ac:dyDescent="0.25">
      <c r="B58" s="3">
        <v>44863</v>
      </c>
      <c r="C58" s="3">
        <v>44864</v>
      </c>
      <c r="D58" s="3">
        <v>44865</v>
      </c>
      <c r="E58" s="3">
        <v>44866</v>
      </c>
      <c r="F58" s="3">
        <v>44867</v>
      </c>
      <c r="G58" s="3">
        <v>44868</v>
      </c>
      <c r="H58" s="3">
        <v>44869</v>
      </c>
      <c r="I58" s="3">
        <v>44870</v>
      </c>
      <c r="J58" s="3">
        <v>44871</v>
      </c>
      <c r="K58" s="3">
        <v>44872</v>
      </c>
      <c r="L58" s="3">
        <v>44873</v>
      </c>
      <c r="M58" s="3">
        <v>44874</v>
      </c>
      <c r="N58" s="3">
        <v>44875</v>
      </c>
      <c r="O58" s="3">
        <v>44876</v>
      </c>
      <c r="P58" s="3">
        <v>44877</v>
      </c>
      <c r="Q58" s="3">
        <v>44878</v>
      </c>
      <c r="R58" s="3">
        <v>44879</v>
      </c>
      <c r="S58" s="3">
        <v>44880</v>
      </c>
      <c r="T58" s="3">
        <v>44881</v>
      </c>
      <c r="U58" s="3">
        <v>44882</v>
      </c>
      <c r="V58" s="3">
        <v>44883</v>
      </c>
      <c r="W58" s="3">
        <v>44884</v>
      </c>
      <c r="X58" s="3">
        <v>44885</v>
      </c>
      <c r="Y58" s="3">
        <v>44886</v>
      </c>
      <c r="Z58" s="3">
        <v>44887</v>
      </c>
      <c r="AA58" s="3">
        <v>44888</v>
      </c>
      <c r="AB58" s="3">
        <v>44889</v>
      </c>
      <c r="AC58" s="3">
        <v>44890</v>
      </c>
      <c r="AD58" s="3">
        <v>44891</v>
      </c>
      <c r="AE58" s="3">
        <v>44892</v>
      </c>
      <c r="AF58" t="s">
        <v>4</v>
      </c>
      <c r="AG58" t="s">
        <v>9</v>
      </c>
    </row>
    <row r="59" spans="1:36" x14ac:dyDescent="0.25">
      <c r="B59">
        <v>572</v>
      </c>
      <c r="C59">
        <v>594</v>
      </c>
      <c r="D59">
        <v>590</v>
      </c>
      <c r="E59">
        <v>576</v>
      </c>
      <c r="F59">
        <v>577</v>
      </c>
      <c r="G59">
        <v>589</v>
      </c>
      <c r="H59">
        <v>605</v>
      </c>
      <c r="I59">
        <v>605</v>
      </c>
      <c r="J59">
        <v>605</v>
      </c>
      <c r="K59">
        <v>605</v>
      </c>
      <c r="L59">
        <v>595</v>
      </c>
      <c r="M59">
        <v>640</v>
      </c>
      <c r="N59">
        <v>640</v>
      </c>
      <c r="O59">
        <v>640</v>
      </c>
      <c r="P59">
        <v>640</v>
      </c>
      <c r="Q59">
        <v>640</v>
      </c>
      <c r="R59">
        <v>640</v>
      </c>
      <c r="S59">
        <v>640</v>
      </c>
      <c r="T59">
        <v>640</v>
      </c>
      <c r="U59">
        <v>640</v>
      </c>
      <c r="V59">
        <v>640</v>
      </c>
      <c r="W59">
        <v>665</v>
      </c>
      <c r="AF59" cm="1">
        <f t="array" ref="AF59">LOOKUP(2,1/ISNUMBER($B$59:$AE$59),$B$59:$AE$59)</f>
        <v>665</v>
      </c>
      <c r="AG59">
        <f>AF60/A8</f>
        <v>7.0381231671554259E-2</v>
      </c>
    </row>
    <row r="60" spans="1:36" x14ac:dyDescent="0.25">
      <c r="A60" t="s">
        <v>1</v>
      </c>
      <c r="B60">
        <f>B59-A56</f>
        <v>27</v>
      </c>
      <c r="C60">
        <f>IF(C59&lt;&gt;"",C59-B59,"")</f>
        <v>22</v>
      </c>
      <c r="D60">
        <f t="shared" ref="D60:AE60" si="1334">IF(D59&lt;&gt;"",D59-C59,"")</f>
        <v>-4</v>
      </c>
      <c r="E60">
        <f t="shared" si="1334"/>
        <v>-14</v>
      </c>
      <c r="F60">
        <f t="shared" si="1334"/>
        <v>1</v>
      </c>
      <c r="G60">
        <f t="shared" si="1334"/>
        <v>12</v>
      </c>
      <c r="H60">
        <f t="shared" si="1334"/>
        <v>16</v>
      </c>
      <c r="I60">
        <f t="shared" si="1334"/>
        <v>0</v>
      </c>
      <c r="J60">
        <f t="shared" si="1334"/>
        <v>0</v>
      </c>
      <c r="K60">
        <f t="shared" si="1334"/>
        <v>0</v>
      </c>
      <c r="L60">
        <f t="shared" si="1334"/>
        <v>-10</v>
      </c>
      <c r="M60">
        <f t="shared" si="1334"/>
        <v>45</v>
      </c>
      <c r="N60">
        <f t="shared" si="1334"/>
        <v>0</v>
      </c>
      <c r="O60">
        <f t="shared" si="1334"/>
        <v>0</v>
      </c>
      <c r="P60">
        <f t="shared" si="1334"/>
        <v>0</v>
      </c>
      <c r="Q60">
        <f t="shared" si="1334"/>
        <v>0</v>
      </c>
      <c r="R60">
        <f t="shared" si="1334"/>
        <v>0</v>
      </c>
      <c r="S60">
        <f t="shared" si="1334"/>
        <v>0</v>
      </c>
      <c r="T60">
        <f t="shared" si="1334"/>
        <v>0</v>
      </c>
      <c r="U60">
        <f t="shared" si="1334"/>
        <v>0</v>
      </c>
      <c r="V60">
        <f t="shared" si="1334"/>
        <v>0</v>
      </c>
      <c r="W60">
        <f t="shared" si="1334"/>
        <v>25</v>
      </c>
      <c r="X60" t="str">
        <f t="shared" si="1334"/>
        <v/>
      </c>
      <c r="Y60" t="str">
        <f t="shared" si="1334"/>
        <v/>
      </c>
      <c r="Z60" t="str">
        <f t="shared" si="1334"/>
        <v/>
      </c>
      <c r="AA60" t="str">
        <f t="shared" si="1334"/>
        <v/>
      </c>
      <c r="AB60" t="str">
        <f t="shared" si="1334"/>
        <v/>
      </c>
      <c r="AC60" t="str">
        <f t="shared" si="1334"/>
        <v/>
      </c>
      <c r="AD60" t="str">
        <f t="shared" si="1334"/>
        <v/>
      </c>
      <c r="AE60" t="str">
        <f t="shared" si="1334"/>
        <v/>
      </c>
      <c r="AF60" s="5">
        <f>SUM(B60:AE60)</f>
        <v>120</v>
      </c>
      <c r="AG60" t="s">
        <v>7</v>
      </c>
    </row>
    <row r="61" spans="1:36" x14ac:dyDescent="0.25">
      <c r="A61" t="s">
        <v>2</v>
      </c>
      <c r="B61">
        <f>B60-B7</f>
        <v>1.4250000000001819</v>
      </c>
      <c r="C61">
        <f>IF(C60&lt;&gt;"",C60-C7,"")</f>
        <v>-3.9586249999997563</v>
      </c>
      <c r="D61">
        <f t="shared" ref="D61:AE61" si="1335">IF(D60&lt;&gt;"",D60-D7,"")</f>
        <v>-30.348004374999846</v>
      </c>
      <c r="E61">
        <f t="shared" si="1335"/>
        <v>-40.743224440624772</v>
      </c>
      <c r="F61">
        <f t="shared" si="1335"/>
        <v>-26.144372807234276</v>
      </c>
      <c r="G61">
        <f t="shared" si="1335"/>
        <v>-15.551538399342689</v>
      </c>
      <c r="H61">
        <f t="shared" si="1335"/>
        <v>-11.964811475332908</v>
      </c>
      <c r="I61">
        <f t="shared" si="1335"/>
        <v>-26.755082356790581</v>
      </c>
      <c r="J61">
        <f t="shared" si="1335"/>
        <v>0</v>
      </c>
      <c r="K61">
        <f t="shared" si="1335"/>
        <v>0</v>
      </c>
      <c r="L61">
        <f t="shared" si="1335"/>
        <v>-10</v>
      </c>
      <c r="M61">
        <f t="shared" si="1335"/>
        <v>45</v>
      </c>
      <c r="N61">
        <f t="shared" si="1335"/>
        <v>0</v>
      </c>
      <c r="O61">
        <f t="shared" si="1335"/>
        <v>0</v>
      </c>
      <c r="P61">
        <f t="shared" si="1335"/>
        <v>0</v>
      </c>
      <c r="Q61">
        <f t="shared" si="1335"/>
        <v>0</v>
      </c>
      <c r="R61">
        <f t="shared" si="1335"/>
        <v>0</v>
      </c>
      <c r="S61">
        <f t="shared" si="1335"/>
        <v>0</v>
      </c>
      <c r="T61">
        <f t="shared" si="1335"/>
        <v>0</v>
      </c>
      <c r="U61">
        <f t="shared" si="1335"/>
        <v>0</v>
      </c>
      <c r="V61">
        <f t="shared" si="1335"/>
        <v>0</v>
      </c>
      <c r="W61">
        <f t="shared" si="1335"/>
        <v>25</v>
      </c>
      <c r="X61" t="str">
        <f t="shared" si="1335"/>
        <v/>
      </c>
      <c r="Y61" t="str">
        <f t="shared" si="1335"/>
        <v/>
      </c>
      <c r="Z61" t="str">
        <f t="shared" si="1335"/>
        <v/>
      </c>
      <c r="AA61" t="str">
        <f t="shared" si="1335"/>
        <v/>
      </c>
      <c r="AB61" t="str">
        <f t="shared" si="1335"/>
        <v/>
      </c>
      <c r="AC61" t="str">
        <f t="shared" si="1335"/>
        <v/>
      </c>
      <c r="AD61" t="str">
        <f t="shared" si="1335"/>
        <v/>
      </c>
      <c r="AE61" t="str">
        <f t="shared" si="1335"/>
        <v/>
      </c>
      <c r="AF61" s="5">
        <f>AF8-AF60</f>
        <v>840.05177593689996</v>
      </c>
      <c r="AG61" t="s">
        <v>3</v>
      </c>
    </row>
    <row r="62" spans="1:36" x14ac:dyDescent="0.25">
      <c r="AF62" s="4">
        <f>100-100*(AF61/AF8)</f>
        <v>12.499325870512962</v>
      </c>
      <c r="AG62" t="s">
        <v>5</v>
      </c>
    </row>
    <row r="63" spans="1:36" x14ac:dyDescent="0.25">
      <c r="AF63" s="4">
        <f>100*(AH63/30)</f>
        <v>73.333333333333329</v>
      </c>
      <c r="AG63" t="s">
        <v>6</v>
      </c>
      <c r="AH63">
        <f>30-COUNTIF(B59:AE59,"")</f>
        <v>22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C5463-3EBC-42B7-A906-1395396F039E}">
  <sheetPr codeName="Sayfa3"/>
  <dimension ref="A1:F23"/>
  <sheetViews>
    <sheetView topLeftCell="A4" workbookViewId="0">
      <selection activeCell="F12" sqref="F12"/>
    </sheetView>
  </sheetViews>
  <sheetFormatPr defaultRowHeight="15" x14ac:dyDescent="0.25"/>
  <cols>
    <col min="1" max="1" width="12.42578125" customWidth="1"/>
    <col min="2" max="2" width="13.85546875" customWidth="1"/>
    <col min="3" max="3" width="11.5703125" bestFit="1" customWidth="1"/>
    <col min="4" max="4" width="16" customWidth="1"/>
    <col min="5" max="5" width="11.140625" customWidth="1"/>
  </cols>
  <sheetData>
    <row r="1" spans="1:6" x14ac:dyDescent="0.25">
      <c r="A1" t="s">
        <v>26</v>
      </c>
      <c r="D1" s="15"/>
      <c r="E1" s="15"/>
      <c r="F1" s="15"/>
    </row>
    <row r="2" spans="1:6" x14ac:dyDescent="0.25">
      <c r="A2" t="s">
        <v>27</v>
      </c>
      <c r="B2" t="s">
        <v>30</v>
      </c>
      <c r="C2" t="s">
        <v>28</v>
      </c>
      <c r="D2" s="15" t="s">
        <v>29</v>
      </c>
      <c r="E2" s="15" t="s">
        <v>10</v>
      </c>
      <c r="F2" s="15"/>
    </row>
    <row r="3" spans="1:6" x14ac:dyDescent="0.25">
      <c r="A3">
        <v>1700</v>
      </c>
      <c r="B3">
        <v>5.0000000000000001E-3</v>
      </c>
      <c r="C3" s="7">
        <v>10268</v>
      </c>
      <c r="D3" s="16">
        <v>61843</v>
      </c>
      <c r="E3" s="16">
        <f>D3*18.6</f>
        <v>1150279.8</v>
      </c>
      <c r="F3" s="15"/>
    </row>
    <row r="4" spans="1:6" x14ac:dyDescent="0.25">
      <c r="A4">
        <v>1700</v>
      </c>
      <c r="B4">
        <v>0.01</v>
      </c>
      <c r="C4" s="7">
        <v>61294</v>
      </c>
      <c r="D4" s="16">
        <v>2203000</v>
      </c>
      <c r="E4" s="16">
        <f>D4*18.6</f>
        <v>40975800</v>
      </c>
      <c r="F4" s="15"/>
    </row>
    <row r="5" spans="1:6" x14ac:dyDescent="0.25">
      <c r="A5">
        <v>1700</v>
      </c>
      <c r="B5">
        <v>1.4999999999999999E-2</v>
      </c>
      <c r="C5" s="7">
        <v>362659.94642054359</v>
      </c>
      <c r="D5" s="16">
        <v>77139141.781672433</v>
      </c>
      <c r="E5" s="16">
        <f>D5*18.6</f>
        <v>1434788037.1391075</v>
      </c>
    </row>
    <row r="7" spans="1:6" x14ac:dyDescent="0.25">
      <c r="F7" s="7"/>
    </row>
    <row r="9" spans="1:6" x14ac:dyDescent="0.25">
      <c r="A9" t="s">
        <v>31</v>
      </c>
    </row>
    <row r="10" spans="1:6" x14ac:dyDescent="0.25">
      <c r="A10" t="s">
        <v>32</v>
      </c>
    </row>
    <row r="11" spans="1:6" x14ac:dyDescent="0.25">
      <c r="A11" t="s">
        <v>33</v>
      </c>
    </row>
    <row r="12" spans="1:6" x14ac:dyDescent="0.25">
      <c r="A12" t="s">
        <v>34</v>
      </c>
    </row>
    <row r="13" spans="1:6" x14ac:dyDescent="0.25">
      <c r="A13" t="s">
        <v>35</v>
      </c>
    </row>
    <row r="14" spans="1:6" x14ac:dyDescent="0.25">
      <c r="A14" t="s">
        <v>36</v>
      </c>
    </row>
    <row r="15" spans="1:6" x14ac:dyDescent="0.25">
      <c r="A15" t="s">
        <v>37</v>
      </c>
    </row>
    <row r="16" spans="1:6" x14ac:dyDescent="0.25">
      <c r="A16" t="s">
        <v>38</v>
      </c>
    </row>
    <row r="17" spans="1:1" x14ac:dyDescent="0.25">
      <c r="A17" t="s">
        <v>39</v>
      </c>
    </row>
    <row r="18" spans="1:1" x14ac:dyDescent="0.25">
      <c r="A18" t="s">
        <v>40</v>
      </c>
    </row>
    <row r="19" spans="1:1" x14ac:dyDescent="0.25">
      <c r="A19" t="s">
        <v>41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44</v>
      </c>
    </row>
    <row r="23" spans="1:1" x14ac:dyDescent="0.25">
      <c r="A23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Sayfa1 (2)</vt:lpstr>
      <vt:lpstr>Sayfa3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 Çetin</dc:creator>
  <cp:lastModifiedBy>SUBU</cp:lastModifiedBy>
  <dcterms:created xsi:type="dcterms:W3CDTF">2015-06-05T18:19:34Z</dcterms:created>
  <dcterms:modified xsi:type="dcterms:W3CDTF">2023-01-13T13:46:33Z</dcterms:modified>
</cp:coreProperties>
</file>